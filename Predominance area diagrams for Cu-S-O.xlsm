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liveatteduunam-my.sharepoint.com/personal/dcalla_unam_mx/Documents/Escritorio/GitHub/"/>
    </mc:Choice>
  </mc:AlternateContent>
  <xr:revisionPtr revIDLastSave="77" documentId="8_{8060CC58-97CD-4A9B-A1F4-888531FF5628}" xr6:coauthVersionLast="47" xr6:coauthVersionMax="47" xr10:uidLastSave="{19E43F65-976A-4EDE-82A7-DC8E2F92AEDF}"/>
  <bookViews>
    <workbookView xWindow="20370" yWindow="-120" windowWidth="19440" windowHeight="14880" xr2:uid="{32488EC6-FD8C-447B-90DF-B4E9CBAEB952}"/>
  </bookViews>
  <sheets>
    <sheet name="Cu" sheetId="6" r:id="rId1"/>
    <sheet name="Cu calculations" sheetId="5" r:id="rId2"/>
  </sheets>
  <definedNames>
    <definedName name="B">'Cu calculations'!$B$2</definedName>
    <definedName name="TE">'Cu calculations'!$C$2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" i="6" l="1"/>
  <c r="K12" i="5" l="1"/>
  <c r="I29" i="6" l="1"/>
  <c r="I30" i="6"/>
  <c r="I31" i="6"/>
  <c r="I32" i="6"/>
  <c r="I33" i="6"/>
  <c r="I34" i="6"/>
  <c r="I35" i="6"/>
  <c r="I36" i="6"/>
  <c r="I37" i="6"/>
  <c r="I38" i="6"/>
  <c r="I39" i="6"/>
  <c r="I40" i="6"/>
  <c r="I41" i="6"/>
  <c r="I28" i="6"/>
  <c r="M2" i="6" l="1"/>
  <c r="Y12" i="5" l="1"/>
  <c r="Y17" i="5"/>
  <c r="Y24" i="5"/>
  <c r="Y22" i="5"/>
  <c r="B2" i="5"/>
  <c r="C2" i="5" s="1"/>
  <c r="AG61" i="6"/>
  <c r="AF59" i="6"/>
  <c r="AF53" i="6"/>
  <c r="AG47" i="6"/>
  <c r="AG34" i="6"/>
  <c r="AF31" i="6"/>
  <c r="AF28" i="6"/>
  <c r="Z20" i="6"/>
  <c r="Y20" i="6"/>
  <c r="X20" i="6"/>
  <c r="W20" i="6"/>
  <c r="V20" i="6"/>
  <c r="U20" i="6"/>
  <c r="AD19" i="6"/>
  <c r="AA19" i="6"/>
  <c r="Z19" i="6"/>
  <c r="Y19" i="6"/>
  <c r="W19" i="6"/>
  <c r="V19" i="6"/>
  <c r="U19" i="6"/>
  <c r="AB18" i="6"/>
  <c r="Y18" i="6"/>
  <c r="X18" i="6"/>
  <c r="W18" i="6"/>
  <c r="V18" i="6"/>
  <c r="U18" i="6"/>
  <c r="AB17" i="6"/>
  <c r="Z17" i="6"/>
  <c r="Y17" i="6"/>
  <c r="W17" i="6"/>
  <c r="V17" i="6"/>
  <c r="U17" i="6"/>
  <c r="AB16" i="6"/>
  <c r="AA16" i="6"/>
  <c r="Y16" i="6"/>
  <c r="W16" i="6"/>
  <c r="V16" i="6"/>
  <c r="U16" i="6"/>
  <c r="AB15" i="6"/>
  <c r="AA15" i="6"/>
  <c r="Z15" i="6"/>
  <c r="W15" i="6"/>
  <c r="V15" i="6"/>
  <c r="U15" i="6"/>
  <c r="AB14" i="6"/>
  <c r="AA14" i="6"/>
  <c r="X14" i="6"/>
  <c r="W14" i="6"/>
  <c r="V14" i="6"/>
  <c r="U14" i="6"/>
  <c r="AD13" i="6"/>
  <c r="AB13" i="6"/>
  <c r="AA13" i="6"/>
  <c r="Z13" i="6"/>
  <c r="X13" i="6"/>
  <c r="W13" i="6"/>
  <c r="U13" i="6"/>
  <c r="AB12" i="6"/>
  <c r="AA12" i="6"/>
  <c r="Y12" i="6"/>
  <c r="X12" i="6"/>
  <c r="W12" i="6"/>
  <c r="U12" i="6"/>
  <c r="AB11" i="6"/>
  <c r="AA11" i="6"/>
  <c r="Z11" i="6"/>
  <c r="Y11" i="6"/>
  <c r="W11" i="6"/>
  <c r="U11" i="6"/>
  <c r="AD10" i="6"/>
  <c r="AB10" i="6"/>
  <c r="AA10" i="6"/>
  <c r="Y10" i="6"/>
  <c r="X10" i="6"/>
  <c r="V10" i="6"/>
  <c r="U10" i="6"/>
  <c r="AD9" i="6"/>
  <c r="AB9" i="6"/>
  <c r="AA9" i="6"/>
  <c r="Z9" i="6"/>
  <c r="Y9" i="6"/>
  <c r="W9" i="6"/>
  <c r="V9" i="6"/>
  <c r="AB8" i="6"/>
  <c r="AA8" i="6"/>
  <c r="Z8" i="6"/>
  <c r="Y8" i="6"/>
  <c r="X8" i="6"/>
  <c r="W8" i="6"/>
  <c r="AB7" i="6"/>
  <c r="AA7" i="6"/>
  <c r="Z7" i="6"/>
  <c r="Y7" i="6"/>
  <c r="X7" i="6"/>
  <c r="U7" i="6"/>
  <c r="Y46" i="5"/>
  <c r="Y41" i="5"/>
  <c r="Y38" i="5"/>
  <c r="Y33" i="5"/>
  <c r="Y29" i="5"/>
  <c r="Y27" i="5"/>
  <c r="G8" i="5"/>
  <c r="F8" i="5"/>
  <c r="E8" i="5"/>
  <c r="D8" i="5"/>
  <c r="C3" i="5"/>
  <c r="Q46" i="5" l="1"/>
  <c r="P46" i="5"/>
  <c r="O46" i="5"/>
  <c r="V46" i="5"/>
  <c r="U46" i="5"/>
  <c r="T46" i="5"/>
  <c r="S46" i="5"/>
  <c r="R46" i="5"/>
  <c r="M12" i="5"/>
  <c r="M22" i="5"/>
  <c r="M34" i="5"/>
  <c r="M44" i="5"/>
  <c r="K14" i="5"/>
  <c r="L14" i="5" s="1"/>
  <c r="K33" i="5"/>
  <c r="L33" i="5" s="1"/>
  <c r="K36" i="5"/>
  <c r="L36" i="5" s="1"/>
  <c r="K43" i="5"/>
  <c r="L43" i="5" s="1"/>
  <c r="M13" i="5"/>
  <c r="M24" i="5"/>
  <c r="M35" i="5"/>
  <c r="M46" i="5"/>
  <c r="K24" i="5"/>
  <c r="L24" i="5" s="1"/>
  <c r="K29" i="5"/>
  <c r="L29" i="5" s="1"/>
  <c r="K46" i="5"/>
  <c r="L46" i="5" s="1"/>
  <c r="K47" i="5"/>
  <c r="L47" i="5" s="1"/>
  <c r="M18" i="5"/>
  <c r="M14" i="5"/>
  <c r="M25" i="5"/>
  <c r="M36" i="5"/>
  <c r="M47" i="5"/>
  <c r="K15" i="5"/>
  <c r="L15" i="5" s="1"/>
  <c r="K19" i="5"/>
  <c r="L19" i="5" s="1"/>
  <c r="K38" i="5"/>
  <c r="L38" i="5" s="1"/>
  <c r="K42" i="5"/>
  <c r="L42" i="5" s="1"/>
  <c r="M41" i="5"/>
  <c r="K39" i="5"/>
  <c r="L39" i="5" s="1"/>
  <c r="K41" i="5"/>
  <c r="L41" i="5" s="1"/>
  <c r="M15" i="5"/>
  <c r="M27" i="5"/>
  <c r="M38" i="5"/>
  <c r="K30" i="5"/>
  <c r="L30" i="5" s="1"/>
  <c r="K34" i="5"/>
  <c r="L34" i="5" s="1"/>
  <c r="M30" i="5"/>
  <c r="K17" i="5"/>
  <c r="L17" i="5" s="1"/>
  <c r="K35" i="5"/>
  <c r="L35" i="5" s="1"/>
  <c r="K22" i="5"/>
  <c r="L22" i="5" s="1"/>
  <c r="M17" i="5"/>
  <c r="M29" i="5"/>
  <c r="M39" i="5"/>
  <c r="L12" i="5"/>
  <c r="K20" i="5"/>
  <c r="L20" i="5" s="1"/>
  <c r="K25" i="5"/>
  <c r="L25" i="5" s="1"/>
  <c r="M19" i="5"/>
  <c r="M31" i="5"/>
  <c r="M42" i="5"/>
  <c r="K13" i="5"/>
  <c r="L13" i="5" s="1"/>
  <c r="K27" i="5"/>
  <c r="L27" i="5" s="1"/>
  <c r="K31" i="5"/>
  <c r="L31" i="5" s="1"/>
  <c r="M20" i="5"/>
  <c r="M33" i="5"/>
  <c r="M43" i="5"/>
  <c r="K18" i="5"/>
  <c r="L18" i="5" s="1"/>
  <c r="K44" i="5"/>
  <c r="L44" i="5" s="1"/>
  <c r="Q12" i="5"/>
  <c r="V12" i="5"/>
  <c r="O29" i="5"/>
  <c r="S29" i="5"/>
  <c r="O22" i="5"/>
  <c r="Q22" i="5"/>
  <c r="R22" i="5"/>
  <c r="S41" i="5"/>
  <c r="V41" i="5"/>
  <c r="U41" i="5"/>
  <c r="T41" i="5"/>
  <c r="O38" i="5"/>
  <c r="S38" i="5"/>
  <c r="R38" i="5"/>
  <c r="Q38" i="5"/>
  <c r="V38" i="5"/>
  <c r="U38" i="5"/>
  <c r="T38" i="5"/>
  <c r="O33" i="5"/>
  <c r="S33" i="5"/>
  <c r="V33" i="5"/>
  <c r="U33" i="5"/>
  <c r="T33" i="5"/>
  <c r="T29" i="5"/>
  <c r="R29" i="5"/>
  <c r="V29" i="5"/>
  <c r="U29" i="5"/>
  <c r="P29" i="5"/>
  <c r="Q29" i="5"/>
  <c r="Q27" i="5"/>
  <c r="R27" i="5"/>
  <c r="O24" i="5"/>
  <c r="O27" i="5"/>
  <c r="S27" i="5"/>
  <c r="V27" i="5"/>
  <c r="U27" i="5"/>
  <c r="T27" i="5"/>
  <c r="Q24" i="5"/>
  <c r="S24" i="5"/>
  <c r="R24" i="5"/>
  <c r="T24" i="5"/>
  <c r="V24" i="5"/>
  <c r="U24" i="5"/>
  <c r="U22" i="5"/>
  <c r="S17" i="5"/>
  <c r="V22" i="5"/>
  <c r="V17" i="5"/>
  <c r="S22" i="5"/>
  <c r="T22" i="5"/>
  <c r="U17" i="5"/>
  <c r="T17" i="5"/>
  <c r="S12" i="5"/>
  <c r="T12" i="5"/>
  <c r="U12" i="5"/>
  <c r="Q17" i="5"/>
  <c r="R41" i="5"/>
  <c r="P22" i="5"/>
  <c r="P41" i="5"/>
  <c r="P12" i="5"/>
  <c r="O12" i="5"/>
  <c r="Q33" i="5"/>
  <c r="O41" i="5"/>
  <c r="P38" i="5"/>
  <c r="R17" i="5"/>
  <c r="P17" i="5"/>
  <c r="O17" i="5"/>
  <c r="P27" i="5"/>
  <c r="P33" i="5"/>
  <c r="P24" i="5"/>
  <c r="R12" i="5"/>
  <c r="Q41" i="5"/>
  <c r="R33" i="5"/>
  <c r="Z46" i="5" l="1"/>
  <c r="C37" i="6" s="1"/>
  <c r="X46" i="5"/>
  <c r="AB46" i="5" s="1" a="1"/>
  <c r="AB46" i="5" s="1"/>
  <c r="E37" i="6" s="1"/>
  <c r="W46" i="5"/>
  <c r="AA46" i="5" s="1" a="1"/>
  <c r="AA46" i="5" s="1"/>
  <c r="D37" i="6" s="1"/>
  <c r="Z33" i="5"/>
  <c r="C34" i="6" s="1"/>
  <c r="Z38" i="5"/>
  <c r="C35" i="6" s="1"/>
  <c r="Z24" i="5"/>
  <c r="C31" i="6" s="1"/>
  <c r="Z41" i="5"/>
  <c r="C36" i="6" s="1"/>
  <c r="Z29" i="5"/>
  <c r="C33" i="6" s="1"/>
  <c r="Z17" i="5"/>
  <c r="C29" i="6" s="1"/>
  <c r="Z27" i="5"/>
  <c r="C32" i="6" s="1"/>
  <c r="Z22" i="5"/>
  <c r="C30" i="6" s="1"/>
  <c r="Z12" i="5"/>
  <c r="C28" i="6" s="1"/>
  <c r="W24" i="5"/>
  <c r="W27" i="5"/>
  <c r="X17" i="5"/>
  <c r="AB17" i="5" s="1" a="1"/>
  <c r="AB17" i="5" s="1"/>
  <c r="E29" i="6" s="1"/>
  <c r="W17" i="5"/>
  <c r="AA17" i="5" s="1" a="1"/>
  <c r="AA17" i="5" s="1"/>
  <c r="D29" i="6" s="1"/>
  <c r="W12" i="5"/>
  <c r="AA12" i="5" s="1" a="1"/>
  <c r="AA12" i="5" s="1"/>
  <c r="D28" i="6" s="1"/>
  <c r="X12" i="5"/>
  <c r="AB12" i="5" s="1" a="1"/>
  <c r="AB12" i="5" s="1"/>
  <c r="E28" i="6" s="1"/>
  <c r="W29" i="5"/>
  <c r="AA29" i="5" s="1" a="1"/>
  <c r="AA29" i="5" s="1"/>
  <c r="D33" i="6" s="1"/>
  <c r="X29" i="5"/>
  <c r="W38" i="5"/>
  <c r="AA38" i="5" s="1" a="1"/>
  <c r="AA38" i="5" s="1"/>
  <c r="D35" i="6" s="1"/>
  <c r="X38" i="5"/>
  <c r="X41" i="5"/>
  <c r="AB41" i="5" s="1" a="1"/>
  <c r="AB41" i="5" s="1"/>
  <c r="E36" i="6" s="1"/>
  <c r="W41" i="5"/>
  <c r="AA41" i="5" s="1" a="1"/>
  <c r="AA41" i="5" s="1"/>
  <c r="D36" i="6" s="1"/>
  <c r="X24" i="5"/>
  <c r="X33" i="5"/>
  <c r="AB33" i="5" s="1" a="1"/>
  <c r="AB33" i="5" s="1"/>
  <c r="E34" i="6" s="1"/>
  <c r="W33" i="5"/>
  <c r="AA33" i="5" s="1" a="1"/>
  <c r="AA33" i="5" s="1"/>
  <c r="D34" i="6" s="1"/>
  <c r="W22" i="5"/>
  <c r="X22" i="5"/>
  <c r="X27" i="5"/>
  <c r="AB38" i="5" l="1" a="1"/>
  <c r="AB38" i="5" s="1"/>
  <c r="E35" i="6" s="1"/>
  <c r="AB29" i="5" a="1"/>
  <c r="AB29" i="5" s="1"/>
  <c r="E33" i="6" s="1"/>
  <c r="AB27" i="5" a="1"/>
  <c r="AB27" i="5" s="1"/>
  <c r="E32" i="6" s="1"/>
  <c r="AB24" i="5" a="1"/>
  <c r="AB24" i="5" s="1"/>
  <c r="E31" i="6" s="1"/>
  <c r="AB22" i="5" a="1"/>
  <c r="AB22" i="5" s="1"/>
  <c r="E30" i="6" s="1"/>
  <c r="AA27" i="5" a="1"/>
  <c r="AA27" i="5" s="1"/>
  <c r="D32" i="6" s="1"/>
  <c r="AA24" i="5" a="1"/>
  <c r="AA24" i="5" s="1"/>
  <c r="D31" i="6" s="1"/>
  <c r="AA22" i="5" a="1"/>
  <c r="AA22" i="5" s="1"/>
  <c r="D30" i="6" s="1"/>
  <c r="AC12" i="5"/>
  <c r="F28" i="6" s="1"/>
  <c r="AC41" i="5"/>
  <c r="F36" i="6" s="1"/>
  <c r="AC33" i="5"/>
  <c r="F34" i="6" s="1"/>
  <c r="AC17" i="5"/>
  <c r="F29" i="6" s="1"/>
  <c r="AC46" i="5"/>
  <c r="F37" i="6" s="1"/>
  <c r="AC38" i="5" l="1"/>
  <c r="F35" i="6" s="1"/>
  <c r="AB20" i="6" s="1"/>
  <c r="AC29" i="5"/>
  <c r="F33" i="6" s="1"/>
  <c r="Z18" i="6" s="1"/>
  <c r="AC27" i="5"/>
  <c r="F32" i="6" s="1"/>
  <c r="Y14" i="6" s="1"/>
  <c r="AC22" i="5"/>
  <c r="F30" i="6" s="1"/>
  <c r="W7" i="6" s="1"/>
  <c r="AC24" i="5"/>
  <c r="F31" i="6" s="1"/>
  <c r="X16" i="6" s="1"/>
  <c r="AA18" i="6"/>
  <c r="AA20" i="6"/>
  <c r="AA17" i="6"/>
  <c r="V13" i="6"/>
  <c r="V8" i="6"/>
  <c r="V7" i="6"/>
  <c r="V11" i="6"/>
  <c r="V12" i="6"/>
  <c r="U9" i="6"/>
  <c r="U8" i="6"/>
  <c r="Z10" i="6" l="1"/>
  <c r="Z16" i="6"/>
  <c r="AB19" i="6"/>
  <c r="Z14" i="6"/>
  <c r="Z12" i="6"/>
  <c r="Y15" i="6"/>
  <c r="Y13" i="6"/>
  <c r="X19" i="6"/>
  <c r="W10" i="6"/>
  <c r="X11" i="6"/>
  <c r="X9" i="6"/>
  <c r="X15" i="6"/>
  <c r="X17" i="6"/>
  <c r="AC11" i="6"/>
  <c r="AC12" i="6"/>
  <c r="AC10" i="6"/>
  <c r="AC9" i="6"/>
  <c r="AC15" i="6"/>
  <c r="AC8" i="6"/>
  <c r="AC18" i="6"/>
  <c r="AC17" i="6"/>
  <c r="AC7" i="6"/>
  <c r="AC19" i="6"/>
  <c r="AC20" i="6"/>
  <c r="AC16" i="6"/>
  <c r="AC13" i="6"/>
  <c r="AC14" i="6"/>
  <c r="AD18" i="6"/>
  <c r="AD8" i="6"/>
  <c r="AD14" i="6"/>
  <c r="AD7" i="6"/>
  <c r="AD15" i="6"/>
  <c r="AD12" i="6"/>
  <c r="AD20" i="6"/>
  <c r="AD17" i="6"/>
  <c r="AD16" i="6"/>
  <c r="AD11" i="6"/>
  <c r="AE13" i="6" l="1"/>
  <c r="AF13" i="6" s="1"/>
  <c r="J1160" i="6" s="1"/>
  <c r="AE19" i="6"/>
  <c r="AF19" i="6" s="1"/>
  <c r="P1432" i="6" s="1"/>
  <c r="AE10" i="6"/>
  <c r="AF10" i="6" s="1"/>
  <c r="AF47" i="6" s="1"/>
  <c r="AE9" i="6"/>
  <c r="AF9" i="6" s="1"/>
  <c r="AF35" i="6" s="1"/>
  <c r="AE7" i="6"/>
  <c r="AF7" i="6" s="1"/>
  <c r="AE12" i="6"/>
  <c r="AF12" i="6" s="1"/>
  <c r="AE14" i="6"/>
  <c r="AF14" i="6" s="1"/>
  <c r="AE18" i="6"/>
  <c r="AF18" i="6" s="1"/>
  <c r="P39" i="6" s="1"/>
  <c r="AE17" i="6"/>
  <c r="AF17" i="6" s="1"/>
  <c r="AE8" i="6"/>
  <c r="AF8" i="6" s="1"/>
  <c r="P28" i="6" s="1"/>
  <c r="AE16" i="6"/>
  <c r="AF16" i="6" s="1"/>
  <c r="P37" i="6" s="1"/>
  <c r="AE15" i="6"/>
  <c r="AF15" i="6" s="1"/>
  <c r="AE20" i="6"/>
  <c r="AF20" i="6" s="1"/>
  <c r="P41" i="6" s="1"/>
  <c r="AE11" i="6"/>
  <c r="AF11" i="6" s="1"/>
  <c r="J1182" i="6" l="1"/>
  <c r="J1198" i="6"/>
  <c r="J1336" i="6"/>
  <c r="J1342" i="6"/>
  <c r="J1338" i="6"/>
  <c r="J1206" i="6"/>
  <c r="J1440" i="6"/>
  <c r="J1272" i="6"/>
  <c r="J1163" i="6"/>
  <c r="J1426" i="6"/>
  <c r="J1193" i="6"/>
  <c r="J1153" i="6"/>
  <c r="J1192" i="6"/>
  <c r="AF46" i="6"/>
  <c r="P1397" i="6"/>
  <c r="P1263" i="6"/>
  <c r="P1343" i="6"/>
  <c r="P1235" i="6"/>
  <c r="P1427" i="6"/>
  <c r="P1425" i="6"/>
  <c r="P1147" i="6"/>
  <c r="P1362" i="6"/>
  <c r="P1173" i="6"/>
  <c r="P1221" i="6"/>
  <c r="P1304" i="6"/>
  <c r="P1268" i="6"/>
  <c r="P1209" i="6"/>
  <c r="P1169" i="6"/>
  <c r="P1350" i="6"/>
  <c r="P1240" i="6"/>
  <c r="P1153" i="6"/>
  <c r="P1225" i="6"/>
  <c r="P1272" i="6"/>
  <c r="P1165" i="6"/>
  <c r="P1236" i="6"/>
  <c r="P1278" i="6"/>
  <c r="P1207" i="6"/>
  <c r="P1287" i="6"/>
  <c r="P1358" i="6"/>
  <c r="P1421" i="6"/>
  <c r="P1322" i="6"/>
  <c r="P1405" i="6"/>
  <c r="P1249" i="6"/>
  <c r="P1282" i="6"/>
  <c r="P1355" i="6"/>
  <c r="P1404" i="6"/>
  <c r="P1327" i="6"/>
  <c r="P1162" i="6"/>
  <c r="P1144" i="6"/>
  <c r="P1407" i="6"/>
  <c r="P1436" i="6"/>
  <c r="P1260" i="6"/>
  <c r="P1300" i="6"/>
  <c r="P1229" i="6"/>
  <c r="P1299" i="6"/>
  <c r="P1285" i="6"/>
  <c r="P1378" i="6"/>
  <c r="P1157" i="6"/>
  <c r="P1339" i="6"/>
  <c r="P1271" i="6"/>
  <c r="P1228" i="6"/>
  <c r="P1175" i="6"/>
  <c r="P1251" i="6"/>
  <c r="P1335" i="6"/>
  <c r="P1372" i="6"/>
  <c r="P1415" i="6"/>
  <c r="P1181" i="6"/>
  <c r="P1247" i="6"/>
  <c r="P1414" i="6"/>
  <c r="P1419" i="6"/>
  <c r="P1265" i="6"/>
  <c r="P1191" i="6"/>
  <c r="P1381" i="6"/>
  <c r="P1398" i="6"/>
  <c r="P1321" i="6"/>
  <c r="P1224" i="6"/>
  <c r="P1146" i="6"/>
  <c r="P1363" i="6"/>
  <c r="P1306" i="6"/>
  <c r="P1178" i="6"/>
  <c r="P1177" i="6"/>
  <c r="P1408" i="6"/>
  <c r="P1412" i="6"/>
  <c r="P1179" i="6"/>
  <c r="P1183" i="6"/>
  <c r="P1189" i="6"/>
  <c r="P1387" i="6"/>
  <c r="P1338" i="6"/>
  <c r="P1291" i="6"/>
  <c r="P1212" i="6"/>
  <c r="P1333" i="6"/>
  <c r="P1259" i="6"/>
  <c r="P1174" i="6"/>
  <c r="P1394" i="6"/>
  <c r="P1369" i="6"/>
  <c r="P1308" i="6"/>
  <c r="P1208" i="6"/>
  <c r="P1301" i="6"/>
  <c r="P1302" i="6"/>
  <c r="P1348" i="6"/>
  <c r="P1149" i="6"/>
  <c r="P1239" i="6"/>
  <c r="P1392" i="6"/>
  <c r="P1166" i="6"/>
  <c r="P1211" i="6"/>
  <c r="P1257" i="6"/>
  <c r="P1347" i="6"/>
  <c r="P1442" i="6"/>
  <c r="P1410" i="6"/>
  <c r="P1385" i="6"/>
  <c r="P1288" i="6"/>
  <c r="P1341" i="6"/>
  <c r="P1364" i="6"/>
  <c r="P1155" i="6"/>
  <c r="P1196" i="6"/>
  <c r="P1234" i="6"/>
  <c r="P1418" i="6"/>
  <c r="P1373" i="6"/>
  <c r="P1311" i="6"/>
  <c r="P1443" i="6"/>
  <c r="P1163" i="6"/>
  <c r="P1180" i="6"/>
  <c r="P1386" i="6"/>
  <c r="P1349" i="6"/>
  <c r="P1286" i="6"/>
  <c r="P1262" i="6"/>
  <c r="P1218" i="6"/>
  <c r="P1216" i="6"/>
  <c r="P1261" i="6"/>
  <c r="P1215" i="6"/>
  <c r="P1214" i="6"/>
  <c r="P1359" i="6"/>
  <c r="P1156" i="6"/>
  <c r="P1206" i="6"/>
  <c r="P1198" i="6"/>
  <c r="P1388" i="6"/>
  <c r="P1217" i="6"/>
  <c r="P1276" i="6"/>
  <c r="P1284" i="6"/>
  <c r="P1342" i="6"/>
  <c r="P1204" i="6"/>
  <c r="P1269" i="6"/>
  <c r="P1159" i="6"/>
  <c r="P1434" i="6"/>
  <c r="P1154" i="6"/>
  <c r="P1400" i="6"/>
  <c r="P1309" i="6"/>
  <c r="P1210" i="6"/>
  <c r="P1232" i="6"/>
  <c r="P1374" i="6"/>
  <c r="P1428" i="6"/>
  <c r="P1391" i="6"/>
  <c r="P1361" i="6"/>
  <c r="P1401" i="6"/>
  <c r="P1337" i="6"/>
  <c r="P1328" i="6"/>
  <c r="P1197" i="6"/>
  <c r="P1346" i="6"/>
  <c r="P1245" i="6"/>
  <c r="P1312" i="6"/>
  <c r="P1226" i="6"/>
  <c r="P1170" i="6"/>
  <c r="P1296" i="6"/>
  <c r="P1220" i="6"/>
  <c r="P1357" i="6"/>
  <c r="P1227" i="6"/>
  <c r="P1402" i="6"/>
  <c r="P1431" i="6"/>
  <c r="P1411" i="6"/>
  <c r="P1303" i="6"/>
  <c r="P1230" i="6"/>
  <c r="P1353" i="6"/>
  <c r="P1417" i="6"/>
  <c r="P1274" i="6"/>
  <c r="P1426" i="6"/>
  <c r="P1396" i="6"/>
  <c r="P1241" i="6"/>
  <c r="P1329" i="6"/>
  <c r="P1203" i="6"/>
  <c r="P1266" i="6"/>
  <c r="P1252" i="6"/>
  <c r="P1317" i="6"/>
  <c r="P1238" i="6"/>
  <c r="P1187" i="6"/>
  <c r="J1233" i="6"/>
  <c r="J1322" i="6"/>
  <c r="J1311" i="6"/>
  <c r="J1375" i="6"/>
  <c r="J1386" i="6"/>
  <c r="J1280" i="6"/>
  <c r="J1229" i="6"/>
  <c r="J1301" i="6"/>
  <c r="J1231" i="6"/>
  <c r="J1265" i="6"/>
  <c r="J1400" i="6"/>
  <c r="J1441" i="6"/>
  <c r="J1413" i="6"/>
  <c r="J1172" i="6"/>
  <c r="J1428" i="6"/>
  <c r="J1254" i="6"/>
  <c r="J1389" i="6"/>
  <c r="J1242" i="6"/>
  <c r="J1162" i="6"/>
  <c r="J1330" i="6"/>
  <c r="J1319" i="6"/>
  <c r="J1281" i="6"/>
  <c r="J1240" i="6"/>
  <c r="J1349" i="6"/>
  <c r="J1353" i="6"/>
  <c r="J1253" i="6"/>
  <c r="P1213" i="6"/>
  <c r="P1375" i="6"/>
  <c r="P1283" i="6"/>
  <c r="P1176" i="6"/>
  <c r="P1379" i="6"/>
  <c r="P1255" i="6"/>
  <c r="P1399" i="6"/>
  <c r="P1145" i="6"/>
  <c r="P1193" i="6"/>
  <c r="P1256" i="6"/>
  <c r="P1194" i="6"/>
  <c r="P1376" i="6"/>
  <c r="P1242" i="6"/>
  <c r="P1151" i="6"/>
  <c r="P1383" i="6"/>
  <c r="P1390" i="6"/>
  <c r="P1368" i="6"/>
  <c r="P1344" i="6"/>
  <c r="P1424" i="6"/>
  <c r="P1422" i="6"/>
  <c r="P1277" i="6"/>
  <c r="P1264" i="6"/>
  <c r="P1318" i="6"/>
  <c r="P1280" i="6"/>
  <c r="P1281" i="6"/>
  <c r="P1377" i="6"/>
  <c r="P1384" i="6"/>
  <c r="P1315" i="6"/>
  <c r="P1250" i="6"/>
  <c r="P1441" i="6"/>
  <c r="P1319" i="6"/>
  <c r="P1293" i="6"/>
  <c r="P1416" i="6"/>
  <c r="P1222" i="6"/>
  <c r="P1233" i="6"/>
  <c r="P1413" i="6"/>
  <c r="P1351" i="6"/>
  <c r="P1298" i="6"/>
  <c r="P1324" i="6"/>
  <c r="P1185" i="6"/>
  <c r="P1430" i="6"/>
  <c r="P1409" i="6"/>
  <c r="P1168" i="6"/>
  <c r="P1330" i="6"/>
  <c r="P1205" i="6"/>
  <c r="P1371" i="6"/>
  <c r="P1295" i="6"/>
  <c r="P1164" i="6"/>
  <c r="P1254" i="6"/>
  <c r="P1307" i="6"/>
  <c r="P1314" i="6"/>
  <c r="P1171" i="6"/>
  <c r="P1152" i="6"/>
  <c r="P1297" i="6"/>
  <c r="P1323" i="6"/>
  <c r="P1148" i="6"/>
  <c r="P1237" i="6"/>
  <c r="P1354" i="6"/>
  <c r="P1267" i="6"/>
  <c r="P1292" i="6"/>
  <c r="P1438" i="6"/>
  <c r="P1160" i="6"/>
  <c r="P1167" i="6"/>
  <c r="P1429" i="6"/>
  <c r="P1365" i="6"/>
  <c r="P1202" i="6"/>
  <c r="P1186" i="6"/>
  <c r="P1403" i="6"/>
  <c r="P1219" i="6"/>
  <c r="P1313" i="6"/>
  <c r="P1253" i="6"/>
  <c r="P1340" i="6"/>
  <c r="P1440" i="6"/>
  <c r="P1248" i="6"/>
  <c r="P1326" i="6"/>
  <c r="P1370" i="6"/>
  <c r="P1352" i="6"/>
  <c r="P1290" i="6"/>
  <c r="P1360" i="6"/>
  <c r="P1200" i="6"/>
  <c r="P1201" i="6"/>
  <c r="P1305" i="6"/>
  <c r="P1195" i="6"/>
  <c r="P1345" i="6"/>
  <c r="P1435" i="6"/>
  <c r="P1406" i="6"/>
  <c r="P1310" i="6"/>
  <c r="P1380" i="6"/>
  <c r="P1420" i="6"/>
  <c r="P1279" i="6"/>
  <c r="P1367" i="6"/>
  <c r="P1334" i="6"/>
  <c r="P1161" i="6"/>
  <c r="P1320" i="6"/>
  <c r="P1395" i="6"/>
  <c r="P1199" i="6"/>
  <c r="P1366" i="6"/>
  <c r="P1244" i="6"/>
  <c r="P1356" i="6"/>
  <c r="P1423" i="6"/>
  <c r="P1433" i="6"/>
  <c r="P1182" i="6"/>
  <c r="P1223" i="6"/>
  <c r="P1184" i="6"/>
  <c r="P1150" i="6"/>
  <c r="P1275" i="6"/>
  <c r="P1258" i="6"/>
  <c r="P1246" i="6"/>
  <c r="P1393" i="6"/>
  <c r="P1294" i="6"/>
  <c r="P1316" i="6"/>
  <c r="P1190" i="6"/>
  <c r="P1188" i="6"/>
  <c r="P1332" i="6"/>
  <c r="P1336" i="6"/>
  <c r="P1158" i="6"/>
  <c r="P1289" i="6"/>
  <c r="P1192" i="6"/>
  <c r="P1382" i="6"/>
  <c r="P1231" i="6"/>
  <c r="P1331" i="6"/>
  <c r="P1325" i="6"/>
  <c r="P1437" i="6"/>
  <c r="P1172" i="6"/>
  <c r="P1439" i="6"/>
  <c r="J1358" i="6"/>
  <c r="J1267" i="6"/>
  <c r="J1183" i="6"/>
  <c r="J1224" i="6"/>
  <c r="J1145" i="6"/>
  <c r="J1209" i="6"/>
  <c r="J1416" i="6"/>
  <c r="J1394" i="6"/>
  <c r="J1222" i="6"/>
  <c r="J1352" i="6"/>
  <c r="J1339" i="6"/>
  <c r="J1373" i="6"/>
  <c r="J1217" i="6"/>
  <c r="J1357" i="6"/>
  <c r="J1196" i="6"/>
  <c r="J1234" i="6"/>
  <c r="J1252" i="6"/>
  <c r="J1169" i="6"/>
  <c r="J1367" i="6"/>
  <c r="J1320" i="6"/>
  <c r="J1371" i="6"/>
  <c r="J1210" i="6"/>
  <c r="J1269" i="6"/>
  <c r="J1317" i="6"/>
  <c r="J1372" i="6"/>
  <c r="J1425" i="6"/>
  <c r="J1348" i="6"/>
  <c r="J1402" i="6"/>
  <c r="J1308" i="6"/>
  <c r="J1341" i="6"/>
  <c r="J1284" i="6"/>
  <c r="J1194" i="6"/>
  <c r="J1186" i="6"/>
  <c r="J1364" i="6"/>
  <c r="J1270" i="6"/>
  <c r="J1200" i="6"/>
  <c r="J1283" i="6"/>
  <c r="J1300" i="6"/>
  <c r="J1401" i="6"/>
  <c r="J1296" i="6"/>
  <c r="J1351" i="6"/>
  <c r="J1418" i="6"/>
  <c r="J1199" i="6"/>
  <c r="J1365" i="6"/>
  <c r="J1393" i="6"/>
  <c r="J1230" i="6"/>
  <c r="J1405" i="6"/>
  <c r="J1149" i="6"/>
  <c r="J1436" i="6"/>
  <c r="J1259" i="6"/>
  <c r="J1197" i="6"/>
  <c r="J1226" i="6"/>
  <c r="J1176" i="6"/>
  <c r="J1404" i="6"/>
  <c r="J1275" i="6"/>
  <c r="J1294" i="6"/>
  <c r="J1247" i="6"/>
  <c r="J1423" i="6"/>
  <c r="J1148" i="6"/>
  <c r="J1397" i="6"/>
  <c r="J1165" i="6"/>
  <c r="J1302" i="6"/>
  <c r="J1335" i="6"/>
  <c r="J1392" i="6"/>
  <c r="J1395" i="6"/>
  <c r="J1273" i="6"/>
  <c r="J1256" i="6"/>
  <c r="J1379" i="6"/>
  <c r="J1312" i="6"/>
  <c r="J1225" i="6"/>
  <c r="J1180" i="6"/>
  <c r="J1424" i="6"/>
  <c r="J1329" i="6"/>
  <c r="J1250" i="6"/>
  <c r="J1203" i="6"/>
  <c r="J1248" i="6"/>
  <c r="J1384" i="6"/>
  <c r="J1208" i="6"/>
  <c r="J1333" i="6"/>
  <c r="J1175" i="6"/>
  <c r="J1362" i="6"/>
  <c r="J1195" i="6"/>
  <c r="J1246" i="6"/>
  <c r="J1299" i="6"/>
  <c r="J1262" i="6"/>
  <c r="J1170" i="6"/>
  <c r="J1407" i="6"/>
  <c r="J1277" i="6"/>
  <c r="J1347" i="6"/>
  <c r="J1417" i="6"/>
  <c r="J1383" i="6"/>
  <c r="J1295" i="6"/>
  <c r="J1315" i="6"/>
  <c r="J1403" i="6"/>
  <c r="J1443" i="6"/>
  <c r="J1378" i="6"/>
  <c r="J1354" i="6"/>
  <c r="J1276" i="6"/>
  <c r="J1318" i="6"/>
  <c r="J1326" i="6"/>
  <c r="J1444" i="6"/>
  <c r="J1376" i="6"/>
  <c r="J1173" i="6"/>
  <c r="J1355" i="6"/>
  <c r="J1179" i="6"/>
  <c r="J1167" i="6"/>
  <c r="J1261" i="6"/>
  <c r="J1438" i="6"/>
  <c r="J1271" i="6"/>
  <c r="J1388" i="6"/>
  <c r="J1189" i="6"/>
  <c r="J1216" i="6"/>
  <c r="J1188" i="6"/>
  <c r="J1207" i="6"/>
  <c r="J1345" i="6"/>
  <c r="J1244" i="6"/>
  <c r="J1410" i="6"/>
  <c r="J1212" i="6"/>
  <c r="J1431" i="6"/>
  <c r="J1158" i="6"/>
  <c r="J1334" i="6"/>
  <c r="J1305" i="6"/>
  <c r="J1243" i="6"/>
  <c r="J1359" i="6"/>
  <c r="J1298" i="6"/>
  <c r="J1398" i="6"/>
  <c r="J1264" i="6"/>
  <c r="J1390" i="6"/>
  <c r="J1218" i="6"/>
  <c r="J1412" i="6"/>
  <c r="J1257" i="6"/>
  <c r="J1406" i="6"/>
  <c r="J1184" i="6"/>
  <c r="J1228" i="6"/>
  <c r="J1287" i="6"/>
  <c r="J1166" i="6"/>
  <c r="J1155" i="6"/>
  <c r="J1310" i="6"/>
  <c r="J1236" i="6"/>
  <c r="J1437" i="6"/>
  <c r="J1215" i="6"/>
  <c r="J1377" i="6"/>
  <c r="J1340" i="6"/>
  <c r="J1191" i="6"/>
  <c r="J1430" i="6"/>
  <c r="J1316" i="6"/>
  <c r="J1313" i="6"/>
  <c r="J1396" i="6"/>
  <c r="J1432" i="6"/>
  <c r="J1344" i="6"/>
  <c r="J1350" i="6"/>
  <c r="J1332" i="6"/>
  <c r="J1363" i="6"/>
  <c r="J1385" i="6"/>
  <c r="J1211" i="6"/>
  <c r="J1201" i="6"/>
  <c r="J1309" i="6"/>
  <c r="J1285" i="6"/>
  <c r="J1178" i="6"/>
  <c r="J1307" i="6"/>
  <c r="J1258" i="6"/>
  <c r="J1204" i="6"/>
  <c r="J1266" i="6"/>
  <c r="J1154" i="6"/>
  <c r="J1433" i="6"/>
  <c r="J1292" i="6"/>
  <c r="J1164" i="6"/>
  <c r="J1205" i="6"/>
  <c r="J1263" i="6"/>
  <c r="J1249" i="6"/>
  <c r="J1227" i="6"/>
  <c r="J1151" i="6"/>
  <c r="J1381" i="6"/>
  <c r="J1159" i="6"/>
  <c r="J1214" i="6"/>
  <c r="J1323" i="6"/>
  <c r="J1314" i="6"/>
  <c r="J1161" i="6"/>
  <c r="J1306" i="6"/>
  <c r="J1321" i="6"/>
  <c r="J1391" i="6"/>
  <c r="J1221" i="6"/>
  <c r="J1380" i="6"/>
  <c r="J1411" i="6"/>
  <c r="J1435" i="6"/>
  <c r="J1331" i="6"/>
  <c r="J1366" i="6"/>
  <c r="J1343" i="6"/>
  <c r="J1288" i="6"/>
  <c r="J1255" i="6"/>
  <c r="J1368" i="6"/>
  <c r="J1146" i="6"/>
  <c r="J1289" i="6"/>
  <c r="J1282" i="6"/>
  <c r="J1245" i="6"/>
  <c r="J1361" i="6"/>
  <c r="J1434" i="6"/>
  <c r="J1239" i="6"/>
  <c r="J1232" i="6"/>
  <c r="J1415" i="6"/>
  <c r="J1399" i="6"/>
  <c r="J1260" i="6"/>
  <c r="J1274" i="6"/>
  <c r="J1370" i="6"/>
  <c r="J1420" i="6"/>
  <c r="J1237" i="6"/>
  <c r="J1223" i="6"/>
  <c r="J1419" i="6"/>
  <c r="J1356" i="6"/>
  <c r="J1303" i="6"/>
  <c r="J1219" i="6"/>
  <c r="J1297" i="6"/>
  <c r="J1150" i="6"/>
  <c r="J1235" i="6"/>
  <c r="J1327" i="6"/>
  <c r="J1346" i="6"/>
  <c r="J1337" i="6"/>
  <c r="J1286" i="6"/>
  <c r="J1421" i="6"/>
  <c r="J1304" i="6"/>
  <c r="J1177" i="6"/>
  <c r="J1414" i="6"/>
  <c r="J1220" i="6"/>
  <c r="J1374" i="6"/>
  <c r="J1290" i="6"/>
  <c r="J1238" i="6"/>
  <c r="J1213" i="6"/>
  <c r="J1174" i="6"/>
  <c r="J1442" i="6"/>
  <c r="J1190" i="6"/>
  <c r="J1187" i="6"/>
  <c r="J1328" i="6"/>
  <c r="J1360" i="6"/>
  <c r="J1152" i="6"/>
  <c r="J1279" i="6"/>
  <c r="J1422" i="6"/>
  <c r="J1147" i="6"/>
  <c r="J1278" i="6"/>
  <c r="J1185" i="6"/>
  <c r="J1439" i="6"/>
  <c r="J1324" i="6"/>
  <c r="J1387" i="6"/>
  <c r="J1293" i="6"/>
  <c r="J1429" i="6"/>
  <c r="J1408" i="6"/>
  <c r="J1268" i="6"/>
  <c r="J1241" i="6"/>
  <c r="J1291" i="6"/>
  <c r="J1157" i="6"/>
  <c r="J1202" i="6"/>
  <c r="J1382" i="6"/>
  <c r="J1156" i="6"/>
  <c r="J1325" i="6"/>
  <c r="J1369" i="6"/>
  <c r="J1181" i="6"/>
  <c r="J1427" i="6"/>
  <c r="J1251" i="6"/>
  <c r="J1171" i="6"/>
  <c r="J1168" i="6"/>
  <c r="J1409" i="6"/>
  <c r="P1243" i="6"/>
  <c r="P1273" i="6"/>
  <c r="AF34" i="6"/>
  <c r="P1270" i="6"/>
  <c r="P1389" i="6"/>
  <c r="P32" i="6"/>
  <c r="P35" i="6"/>
  <c r="P31" i="6"/>
  <c r="P36" i="6"/>
  <c r="S36" i="6" s="1" a="1"/>
  <c r="S36" i="6" s="1"/>
  <c r="P38" i="6"/>
  <c r="P40" i="6"/>
  <c r="K1415" i="6"/>
  <c r="P33" i="6"/>
  <c r="P29" i="6"/>
  <c r="S28" i="6" s="1" a="1"/>
  <c r="S28" i="6" s="1"/>
  <c r="P30" i="6"/>
  <c r="AG28" i="6"/>
  <c r="P34" i="6"/>
  <c r="K1403" i="6"/>
  <c r="N1384" i="6"/>
  <c r="O1227" i="6"/>
  <c r="M1278" i="6"/>
  <c r="Q1435" i="6"/>
  <c r="L1433" i="6"/>
  <c r="K1211" i="6"/>
  <c r="K1442" i="6"/>
  <c r="K1195" i="6"/>
  <c r="K1307" i="6"/>
  <c r="K1427" i="6"/>
  <c r="K1418" i="6"/>
  <c r="K1368" i="6"/>
  <c r="K1276" i="6"/>
  <c r="K1170" i="6"/>
  <c r="K1156" i="6"/>
  <c r="K1351" i="6"/>
  <c r="K1377" i="6"/>
  <c r="K1217" i="6"/>
  <c r="K1219" i="6"/>
  <c r="K1344" i="6"/>
  <c r="K1342" i="6"/>
  <c r="K1346" i="6"/>
  <c r="K1179" i="6"/>
  <c r="K1149" i="6"/>
  <c r="K1435" i="6"/>
  <c r="K1220" i="6"/>
  <c r="K1316" i="6"/>
  <c r="K1348" i="6"/>
  <c r="K1225" i="6"/>
  <c r="K1239" i="6"/>
  <c r="K1381" i="6"/>
  <c r="K1273" i="6"/>
  <c r="K1375" i="6"/>
  <c r="K1392" i="6"/>
  <c r="K1185" i="6"/>
  <c r="K1269" i="6"/>
  <c r="K1150" i="6"/>
  <c r="K1431" i="6"/>
  <c r="K1234" i="6"/>
  <c r="K1328" i="6"/>
  <c r="K1177" i="6"/>
  <c r="K1429" i="6"/>
  <c r="K1363" i="6"/>
  <c r="K1362" i="6"/>
  <c r="K1165" i="6"/>
  <c r="K1305" i="6"/>
  <c r="K1407" i="6"/>
  <c r="K1153" i="6"/>
  <c r="K1441" i="6"/>
  <c r="K1230" i="6"/>
  <c r="K1290" i="6"/>
  <c r="K1199" i="6"/>
  <c r="K1294" i="6"/>
  <c r="K1387" i="6"/>
  <c r="K1382" i="6"/>
  <c r="K1372" i="6"/>
  <c r="K1437" i="6"/>
  <c r="K1413" i="6"/>
  <c r="K1255" i="6"/>
  <c r="K1283" i="6"/>
  <c r="O1397" i="6"/>
  <c r="O1393" i="6"/>
  <c r="O1414" i="6"/>
  <c r="O1321" i="6"/>
  <c r="O1398" i="6"/>
  <c r="O1160" i="6"/>
  <c r="O1364" i="6"/>
  <c r="O1197" i="6"/>
  <c r="O1201" i="6"/>
  <c r="O1162" i="6"/>
  <c r="O1326" i="6"/>
  <c r="O1174" i="6"/>
  <c r="K1358" i="6"/>
  <c r="K1332" i="6"/>
  <c r="K1420" i="6"/>
  <c r="K1257" i="6"/>
  <c r="K1216" i="6"/>
  <c r="O1275" i="6"/>
  <c r="O1344" i="6"/>
  <c r="K1337" i="6"/>
  <c r="K1434" i="6"/>
  <c r="K1155" i="6"/>
  <c r="K1395" i="6"/>
  <c r="K1298" i="6"/>
  <c r="K1334" i="6"/>
  <c r="K1250" i="6"/>
  <c r="K1321" i="6"/>
  <c r="K1323" i="6"/>
  <c r="K1208" i="6"/>
  <c r="K1159" i="6"/>
  <c r="O1206" i="6"/>
  <c r="O1368" i="6"/>
  <c r="O1330" i="6"/>
  <c r="O1357" i="6"/>
  <c r="O1225" i="6"/>
  <c r="K1163" i="6"/>
  <c r="K1160" i="6"/>
  <c r="K1228" i="6"/>
  <c r="K1340" i="6"/>
  <c r="K1390" i="6"/>
  <c r="K1258" i="6"/>
  <c r="K1319" i="6"/>
  <c r="K1412" i="6"/>
  <c r="K1259" i="6"/>
  <c r="K1313" i="6"/>
  <c r="K1233" i="6"/>
  <c r="O1283" i="6"/>
  <c r="O1229" i="6"/>
  <c r="O1403" i="6"/>
  <c r="O1333" i="6"/>
  <c r="O1315" i="6"/>
  <c r="K1196" i="6"/>
  <c r="K1285" i="6"/>
  <c r="K1438" i="6"/>
  <c r="K1329" i="6"/>
  <c r="K1189" i="6"/>
  <c r="K1145" i="6"/>
  <c r="K1314" i="6"/>
  <c r="K1401" i="6"/>
  <c r="K1353" i="6"/>
  <c r="K1322" i="6"/>
  <c r="K1194" i="6"/>
  <c r="K1336" i="6"/>
  <c r="K1264" i="6"/>
  <c r="K1297" i="6"/>
  <c r="O1287" i="6"/>
  <c r="O1369" i="6"/>
  <c r="O1298" i="6"/>
  <c r="O1436" i="6"/>
  <c r="O1251" i="6"/>
  <c r="K1383" i="6"/>
  <c r="K1365" i="6"/>
  <c r="K1369" i="6"/>
  <c r="K1397" i="6"/>
  <c r="K1289" i="6"/>
  <c r="K1184" i="6"/>
  <c r="K1423" i="6"/>
  <c r="K1324" i="6"/>
  <c r="K1396" i="6"/>
  <c r="K1421" i="6"/>
  <c r="K1252" i="6"/>
  <c r="K1272" i="6"/>
  <c r="K1167" i="6"/>
  <c r="K1286" i="6"/>
  <c r="O1230" i="6"/>
  <c r="O1352" i="6"/>
  <c r="O1355" i="6"/>
  <c r="O1259" i="6"/>
  <c r="O1425" i="6"/>
  <c r="O1282" i="6"/>
  <c r="O1285" i="6"/>
  <c r="O1149" i="6"/>
  <c r="O1189" i="6"/>
  <c r="O1284" i="6"/>
  <c r="O1407" i="6"/>
  <c r="O1192" i="6"/>
  <c r="K1386" i="6"/>
  <c r="K1304" i="6"/>
  <c r="K1402" i="6"/>
  <c r="K1419" i="6"/>
  <c r="K1331" i="6"/>
  <c r="K1405" i="6"/>
  <c r="K1148" i="6"/>
  <c r="K1428" i="6"/>
  <c r="K1367" i="6"/>
  <c r="K1265" i="6"/>
  <c r="K1399" i="6"/>
  <c r="K1266" i="6"/>
  <c r="K1287" i="6"/>
  <c r="K1389" i="6"/>
  <c r="K1270" i="6"/>
  <c r="K1212" i="6"/>
  <c r="K1302" i="6"/>
  <c r="K1202" i="6"/>
  <c r="K1197" i="6"/>
  <c r="O1274" i="6"/>
  <c r="O1175" i="6"/>
  <c r="O1191" i="6"/>
  <c r="O1216" i="6"/>
  <c r="O1390" i="6"/>
  <c r="O1155" i="6"/>
  <c r="K1443" i="6"/>
  <c r="K1393" i="6"/>
  <c r="K1253" i="6"/>
  <c r="K1335" i="6"/>
  <c r="K1162" i="6"/>
  <c r="K1300" i="6"/>
  <c r="K1315" i="6"/>
  <c r="K1359" i="6"/>
  <c r="K1406" i="6"/>
  <c r="K1262" i="6"/>
  <c r="K1309" i="6"/>
  <c r="K1417" i="6"/>
  <c r="K1218" i="6"/>
  <c r="K1301" i="6"/>
  <c r="K1187" i="6"/>
  <c r="K1310" i="6"/>
  <c r="K1291" i="6"/>
  <c r="K1347" i="6"/>
  <c r="K1339" i="6"/>
  <c r="O1214" i="6"/>
  <c r="O1265" i="6"/>
  <c r="O1239" i="6"/>
  <c r="O1170" i="6"/>
  <c r="O1258" i="6"/>
  <c r="O1378" i="6"/>
  <c r="O1187" i="6"/>
  <c r="O1427" i="6"/>
  <c r="O1435" i="6"/>
  <c r="O1210" i="6"/>
  <c r="O1241" i="6"/>
  <c r="O1163" i="6"/>
  <c r="O1218" i="6"/>
  <c r="O1308" i="6"/>
  <c r="O1388" i="6"/>
  <c r="O1249" i="6"/>
  <c r="O1293" i="6"/>
  <c r="O1235" i="6"/>
  <c r="K1414" i="6"/>
  <c r="K1268" i="6"/>
  <c r="K1338" i="6"/>
  <c r="K1416" i="6"/>
  <c r="K1385" i="6"/>
  <c r="K1267" i="6"/>
  <c r="K1430" i="6"/>
  <c r="K1254" i="6"/>
  <c r="K1317" i="6"/>
  <c r="K1222" i="6"/>
  <c r="K1370" i="6"/>
  <c r="K1161" i="6"/>
  <c r="K1201" i="6"/>
  <c r="K1299" i="6"/>
  <c r="K1249" i="6"/>
  <c r="K1303" i="6"/>
  <c r="K1181" i="6"/>
  <c r="K1440" i="6"/>
  <c r="O1269" i="6"/>
  <c r="O1262" i="6"/>
  <c r="O1167" i="6"/>
  <c r="O1416" i="6"/>
  <c r="O1292" i="6"/>
  <c r="O1279" i="6"/>
  <c r="O1405" i="6"/>
  <c r="O1374" i="6"/>
  <c r="O1309" i="6"/>
  <c r="K1333" i="6"/>
  <c r="K1293" i="6"/>
  <c r="K1409" i="6"/>
  <c r="K1240" i="6"/>
  <c r="K1404" i="6"/>
  <c r="K1408" i="6"/>
  <c r="K1361" i="6"/>
  <c r="K1251" i="6"/>
  <c r="K1146" i="6"/>
  <c r="K1192" i="6"/>
  <c r="K1205" i="6"/>
  <c r="K1279" i="6"/>
  <c r="K1296" i="6"/>
  <c r="K1400" i="6"/>
  <c r="K1178" i="6"/>
  <c r="K1238" i="6"/>
  <c r="K1223" i="6"/>
  <c r="K1376" i="6"/>
  <c r="O1422" i="6"/>
  <c r="O1202" i="6"/>
  <c r="O1392" i="6"/>
  <c r="O1409" i="6"/>
  <c r="O1215" i="6"/>
  <c r="O1338" i="6"/>
  <c r="O1178" i="6"/>
  <c r="O1339" i="6"/>
  <c r="O1271" i="6"/>
  <c r="O1248" i="6"/>
  <c r="O1443" i="6"/>
  <c r="O1295" i="6"/>
  <c r="O1264" i="6"/>
  <c r="O1320" i="6"/>
  <c r="O1313" i="6"/>
  <c r="O1154" i="6"/>
  <c r="O1325" i="6"/>
  <c r="O1359" i="6"/>
  <c r="O1350" i="6"/>
  <c r="O1151" i="6"/>
  <c r="O1171" i="6"/>
  <c r="O1145" i="6"/>
  <c r="O1312" i="6"/>
  <c r="O1200" i="6"/>
  <c r="O1421" i="6"/>
  <c r="O1375" i="6"/>
  <c r="O1303" i="6"/>
  <c r="O1291" i="6"/>
  <c r="O1219" i="6"/>
  <c r="O1396" i="6"/>
  <c r="O1180" i="6"/>
  <c r="O1223" i="6"/>
  <c r="O1371" i="6"/>
  <c r="O1204" i="6"/>
  <c r="O1318" i="6"/>
  <c r="O1253" i="6"/>
  <c r="O1207" i="6"/>
  <c r="O1328" i="6"/>
  <c r="O1237" i="6"/>
  <c r="O1358" i="6"/>
  <c r="O1437" i="6"/>
  <c r="O1401" i="6"/>
  <c r="O1408" i="6"/>
  <c r="O1322" i="6"/>
  <c r="O1411" i="6"/>
  <c r="O1314" i="6"/>
  <c r="O1240" i="6"/>
  <c r="O1250" i="6"/>
  <c r="O1319" i="6"/>
  <c r="O1198" i="6"/>
  <c r="O1173" i="6"/>
  <c r="O1346" i="6"/>
  <c r="O1172" i="6"/>
  <c r="O1389" i="6"/>
  <c r="O1231" i="6"/>
  <c r="O1341" i="6"/>
  <c r="O1413" i="6"/>
  <c r="O1168" i="6"/>
  <c r="O1316" i="6"/>
  <c r="O1356" i="6"/>
  <c r="O1434" i="6"/>
  <c r="O1370" i="6"/>
  <c r="O1205" i="6"/>
  <c r="O1317" i="6"/>
  <c r="O1288" i="6"/>
  <c r="O1366" i="6"/>
  <c r="O1423" i="6"/>
  <c r="O1430" i="6"/>
  <c r="O1226" i="6"/>
  <c r="O1400" i="6"/>
  <c r="O1300" i="6"/>
  <c r="O1158" i="6"/>
  <c r="O1221" i="6"/>
  <c r="O1431" i="6"/>
  <c r="O1347" i="6"/>
  <c r="O1404" i="6"/>
  <c r="O1441" i="6"/>
  <c r="O1278" i="6"/>
  <c r="O1426" i="6"/>
  <c r="O1247" i="6"/>
  <c r="O1159" i="6"/>
  <c r="O1289" i="6"/>
  <c r="O1438" i="6"/>
  <c r="O1266" i="6"/>
  <c r="O1199" i="6"/>
  <c r="O1363" i="6"/>
  <c r="O1424" i="6"/>
  <c r="O1144" i="6"/>
  <c r="O1203" i="6"/>
  <c r="O1157" i="6"/>
  <c r="O1381" i="6"/>
  <c r="O1305" i="6"/>
  <c r="O1184" i="6"/>
  <c r="O1161" i="6"/>
  <c r="O1348" i="6"/>
  <c r="O1280" i="6"/>
  <c r="O1379" i="6"/>
  <c r="O1252" i="6"/>
  <c r="O1277" i="6"/>
  <c r="O1222" i="6"/>
  <c r="O1383" i="6"/>
  <c r="O1387" i="6"/>
  <c r="O1394" i="6"/>
  <c r="O1281" i="6"/>
  <c r="O1296" i="6"/>
  <c r="O1165" i="6"/>
  <c r="O1380" i="6"/>
  <c r="O1402" i="6"/>
  <c r="O1254" i="6"/>
  <c r="O1220" i="6"/>
  <c r="O1156" i="6"/>
  <c r="O1176" i="6"/>
  <c r="O1261" i="6"/>
  <c r="K1295" i="6"/>
  <c r="K1312" i="6"/>
  <c r="O1429" i="6"/>
  <c r="O1270" i="6"/>
  <c r="O1418" i="6"/>
  <c r="O1362" i="6"/>
  <c r="O1276" i="6"/>
  <c r="O1267" i="6"/>
  <c r="O1242" i="6"/>
  <c r="O1233" i="6"/>
  <c r="O1360" i="6"/>
  <c r="O1297" i="6"/>
  <c r="O1245" i="6"/>
  <c r="O1334" i="6"/>
  <c r="O1150" i="6"/>
  <c r="O1164" i="6"/>
  <c r="O1323" i="6"/>
  <c r="O1439" i="6"/>
  <c r="O1410" i="6"/>
  <c r="O1209" i="6"/>
  <c r="O1395" i="6"/>
  <c r="O1211" i="6"/>
  <c r="O1335" i="6"/>
  <c r="O1361" i="6"/>
  <c r="O1166" i="6"/>
  <c r="O1234" i="6"/>
  <c r="O1177" i="6"/>
  <c r="O1367" i="6"/>
  <c r="O1412" i="6"/>
  <c r="AG59" i="6"/>
  <c r="O1190" i="6"/>
  <c r="O1432" i="6"/>
  <c r="O1351" i="6"/>
  <c r="O1336" i="6"/>
  <c r="O1186" i="6"/>
  <c r="O1232" i="6"/>
  <c r="O1382" i="6"/>
  <c r="O1263" i="6"/>
  <c r="O1332" i="6"/>
  <c r="O1224" i="6"/>
  <c r="O1195" i="6"/>
  <c r="O1208" i="6"/>
  <c r="O1272" i="6"/>
  <c r="O1244" i="6"/>
  <c r="O1255" i="6"/>
  <c r="O1385" i="6"/>
  <c r="O1294" i="6"/>
  <c r="O1146" i="6"/>
  <c r="O1428" i="6"/>
  <c r="O1188" i="6"/>
  <c r="O1349" i="6"/>
  <c r="O1153" i="6"/>
  <c r="O1354" i="6"/>
  <c r="O1268" i="6"/>
  <c r="O1433" i="6"/>
  <c r="O1417" i="6"/>
  <c r="O1304" i="6"/>
  <c r="O1329" i="6"/>
  <c r="O1196" i="6"/>
  <c r="O1302" i="6"/>
  <c r="O1185" i="6"/>
  <c r="O1260" i="6"/>
  <c r="O1183" i="6"/>
  <c r="O1290" i="6"/>
  <c r="O1372" i="6"/>
  <c r="O1406" i="6"/>
  <c r="O1181" i="6"/>
  <c r="O1194" i="6"/>
  <c r="O1377" i="6"/>
  <c r="O1376" i="6"/>
  <c r="O1310" i="6"/>
  <c r="O1286" i="6"/>
  <c r="O1212" i="6"/>
  <c r="O1353" i="6"/>
  <c r="O1236" i="6"/>
  <c r="K1154" i="6"/>
  <c r="K1306" i="6"/>
  <c r="K1341" i="6"/>
  <c r="K1263" i="6"/>
  <c r="K1410" i="6"/>
  <c r="K1274" i="6"/>
  <c r="K1288" i="6"/>
  <c r="K1277" i="6"/>
  <c r="K1433" i="6"/>
  <c r="K1280" i="6"/>
  <c r="K1180" i="6"/>
  <c r="K1190" i="6"/>
  <c r="K1183" i="6"/>
  <c r="K1366" i="6"/>
  <c r="K1209" i="6"/>
  <c r="K1388" i="6"/>
  <c r="K1380" i="6"/>
  <c r="K1244" i="6"/>
  <c r="K1354" i="6"/>
  <c r="K1394" i="6"/>
  <c r="K1243" i="6"/>
  <c r="K1343" i="6"/>
  <c r="K1271" i="6"/>
  <c r="K1188" i="6"/>
  <c r="K1235" i="6"/>
  <c r="K1246" i="6"/>
  <c r="K1175" i="6"/>
  <c r="K1221" i="6"/>
  <c r="K1169" i="6"/>
  <c r="K1147" i="6"/>
  <c r="K1237" i="6"/>
  <c r="K1248" i="6"/>
  <c r="O1169" i="6"/>
  <c r="O1345" i="6"/>
  <c r="O1373" i="6"/>
  <c r="O1243" i="6"/>
  <c r="O1337" i="6"/>
  <c r="O1307" i="6"/>
  <c r="O1327" i="6"/>
  <c r="O1238" i="6"/>
  <c r="O1399" i="6"/>
  <c r="O1440" i="6"/>
  <c r="O1152" i="6"/>
  <c r="O1384" i="6"/>
  <c r="O1391" i="6"/>
  <c r="O1246" i="6"/>
  <c r="O1301" i="6"/>
  <c r="O1340" i="6"/>
  <c r="O1228" i="6"/>
  <c r="O1442" i="6"/>
  <c r="O1193" i="6"/>
  <c r="O1306" i="6"/>
  <c r="O1324" i="6"/>
  <c r="O1179" i="6"/>
  <c r="O1256" i="6"/>
  <c r="O1148" i="6"/>
  <c r="O1331" i="6"/>
  <c r="O1343" i="6"/>
  <c r="O1257" i="6"/>
  <c r="O1182" i="6"/>
  <c r="O1419" i="6"/>
  <c r="O1365" i="6"/>
  <c r="O1299" i="6"/>
  <c r="O1342" i="6"/>
  <c r="O1273" i="6"/>
  <c r="O1217" i="6"/>
  <c r="O1386" i="6"/>
  <c r="O1147" i="6"/>
  <c r="O1311" i="6"/>
  <c r="O1420" i="6"/>
  <c r="O1213" i="6"/>
  <c r="O1415" i="6"/>
  <c r="K1349" i="6"/>
  <c r="K1374" i="6"/>
  <c r="K1229" i="6"/>
  <c r="K1373" i="6"/>
  <c r="K1325" i="6"/>
  <c r="K1224" i="6"/>
  <c r="K1207" i="6"/>
  <c r="K1350" i="6"/>
  <c r="K1210" i="6"/>
  <c r="K1191" i="6"/>
  <c r="K1371" i="6"/>
  <c r="K1214" i="6"/>
  <c r="K1398" i="6"/>
  <c r="K1261" i="6"/>
  <c r="K1327" i="6"/>
  <c r="K1356" i="6"/>
  <c r="K1292" i="6"/>
  <c r="K1232" i="6"/>
  <c r="K1426" i="6"/>
  <c r="K1284" i="6"/>
  <c r="K1378" i="6"/>
  <c r="K1439" i="6"/>
  <c r="K1193" i="6"/>
  <c r="K1158" i="6"/>
  <c r="K1166" i="6"/>
  <c r="K1172" i="6"/>
  <c r="K1174" i="6"/>
  <c r="K1152" i="6"/>
  <c r="K1203" i="6"/>
  <c r="K1256" i="6"/>
  <c r="K1168" i="6"/>
  <c r="K1215" i="6"/>
  <c r="K1176" i="6"/>
  <c r="N1289" i="6"/>
  <c r="K1200" i="6"/>
  <c r="K1364" i="6"/>
  <c r="K1432" i="6"/>
  <c r="K1411" i="6"/>
  <c r="K1326" i="6"/>
  <c r="K1278" i="6"/>
  <c r="K1436" i="6"/>
  <c r="K1318" i="6"/>
  <c r="K1260" i="6"/>
  <c r="K1422" i="6"/>
  <c r="K1245" i="6"/>
  <c r="K1204" i="6"/>
  <c r="K1357" i="6"/>
  <c r="K1425" i="6"/>
  <c r="K1330" i="6"/>
  <c r="K1352" i="6"/>
  <c r="K1391" i="6"/>
  <c r="K1282" i="6"/>
  <c r="K1182" i="6"/>
  <c r="K1281" i="6"/>
  <c r="K1424" i="6"/>
  <c r="K1213" i="6"/>
  <c r="K1226" i="6"/>
  <c r="K1311" i="6"/>
  <c r="K1236" i="6"/>
  <c r="K1186" i="6"/>
  <c r="K1241" i="6"/>
  <c r="K1384" i="6"/>
  <c r="K1164" i="6"/>
  <c r="K1275" i="6"/>
  <c r="K1151" i="6"/>
  <c r="K1345" i="6"/>
  <c r="K1242" i="6"/>
  <c r="K1171" i="6"/>
  <c r="K1308" i="6"/>
  <c r="K1379" i="6"/>
  <c r="K1206" i="6"/>
  <c r="K1227" i="6"/>
  <c r="K1360" i="6"/>
  <c r="K1144" i="6"/>
  <c r="K1157" i="6"/>
  <c r="K1247" i="6"/>
  <c r="K1355" i="6"/>
  <c r="K1231" i="6"/>
  <c r="K1173" i="6"/>
  <c r="K1320" i="6"/>
  <c r="K1198" i="6"/>
  <c r="N1347" i="6"/>
  <c r="N1334" i="6"/>
  <c r="N1425" i="6"/>
  <c r="M1203" i="6"/>
  <c r="N1294" i="6"/>
  <c r="M1252" i="6"/>
  <c r="M1350" i="6"/>
  <c r="N1147" i="6"/>
  <c r="N1288" i="6"/>
  <c r="N1336" i="6"/>
  <c r="N1175" i="6"/>
  <c r="M1318" i="6"/>
  <c r="M1178" i="6"/>
  <c r="N1381" i="6"/>
  <c r="N1173" i="6"/>
  <c r="N1276" i="6"/>
  <c r="M1183" i="6"/>
  <c r="N1191" i="6"/>
  <c r="M1348" i="6"/>
  <c r="N1319" i="6"/>
  <c r="N1199" i="6"/>
  <c r="N1267" i="6"/>
  <c r="M1322" i="6"/>
  <c r="N1263" i="6"/>
  <c r="N1339" i="6"/>
  <c r="M1442" i="6"/>
  <c r="N1329" i="6"/>
  <c r="N1380" i="6"/>
  <c r="M1412" i="6"/>
  <c r="L1309" i="6"/>
  <c r="M1157" i="6"/>
  <c r="M1379" i="6"/>
  <c r="M1375" i="6"/>
  <c r="M1214" i="6"/>
  <c r="N1292" i="6"/>
  <c r="N1414" i="6"/>
  <c r="N1297" i="6"/>
  <c r="N1412" i="6"/>
  <c r="N1349" i="6"/>
  <c r="N1225" i="6"/>
  <c r="M1399" i="6"/>
  <c r="M1165" i="6"/>
  <c r="L1405" i="6"/>
  <c r="N1373" i="6"/>
  <c r="N1365" i="6"/>
  <c r="N1342" i="6"/>
  <c r="N1181" i="6"/>
  <c r="M1336" i="6"/>
  <c r="M1146" i="6"/>
  <c r="M1344" i="6"/>
  <c r="N1410" i="6"/>
  <c r="N1361" i="6"/>
  <c r="N1407" i="6"/>
  <c r="N1332" i="6"/>
  <c r="N1310" i="6"/>
  <c r="N1429" i="6"/>
  <c r="M1397" i="6"/>
  <c r="M1361" i="6"/>
  <c r="N1306" i="6"/>
  <c r="M1219" i="6"/>
  <c r="M1317" i="6"/>
  <c r="M1153" i="6"/>
  <c r="N1331" i="6"/>
  <c r="N1195" i="6"/>
  <c r="N1287" i="6"/>
  <c r="N1152" i="6"/>
  <c r="N1322" i="6"/>
  <c r="N1406" i="6"/>
  <c r="N1217" i="6"/>
  <c r="N1205" i="6"/>
  <c r="N1308" i="6"/>
  <c r="N1391" i="6"/>
  <c r="N1424" i="6"/>
  <c r="N1231" i="6"/>
  <c r="N1282" i="6"/>
  <c r="N1186" i="6"/>
  <c r="M1411" i="6"/>
  <c r="M1150" i="6"/>
  <c r="M1437" i="6"/>
  <c r="M1255" i="6"/>
  <c r="M1230" i="6"/>
  <c r="M1294" i="6"/>
  <c r="Q1226" i="6"/>
  <c r="M1377" i="6"/>
  <c r="M1431" i="6"/>
  <c r="M1281" i="6"/>
  <c r="M1351" i="6"/>
  <c r="M1254" i="6"/>
  <c r="M1320" i="6"/>
  <c r="M1238" i="6"/>
  <c r="M1170" i="6"/>
  <c r="M1429" i="6"/>
  <c r="M1177" i="6"/>
  <c r="M1296" i="6"/>
  <c r="M1418" i="6"/>
  <c r="M1248" i="6"/>
  <c r="M1262" i="6"/>
  <c r="N1394" i="6"/>
  <c r="N1249" i="6"/>
  <c r="N1419" i="6"/>
  <c r="N1268" i="6"/>
  <c r="N1363" i="6"/>
  <c r="N1309" i="6"/>
  <c r="N1266" i="6"/>
  <c r="N1441" i="6"/>
  <c r="N1230" i="6"/>
  <c r="L1425" i="6"/>
  <c r="M1221" i="6"/>
  <c r="M1388" i="6"/>
  <c r="M1346" i="6"/>
  <c r="M1212" i="6"/>
  <c r="M1374" i="6"/>
  <c r="M1181" i="6"/>
  <c r="M1245" i="6"/>
  <c r="M1354" i="6"/>
  <c r="Q1177" i="6"/>
  <c r="M1235" i="6"/>
  <c r="M1264" i="6"/>
  <c r="M1286" i="6"/>
  <c r="M1419" i="6"/>
  <c r="M1229" i="6"/>
  <c r="M1335" i="6"/>
  <c r="M1342" i="6"/>
  <c r="M1228" i="6"/>
  <c r="M1163" i="6"/>
  <c r="M1386" i="6"/>
  <c r="M1164" i="6"/>
  <c r="M1326" i="6"/>
  <c r="M1362" i="6"/>
  <c r="M1422" i="6"/>
  <c r="L1154" i="6"/>
  <c r="N1198" i="6"/>
  <c r="N1317" i="6"/>
  <c r="N1187" i="6"/>
  <c r="N1215" i="6"/>
  <c r="N1248" i="6"/>
  <c r="N1206" i="6"/>
  <c r="N1232" i="6"/>
  <c r="N1208" i="6"/>
  <c r="Q1387" i="6"/>
  <c r="Q1274" i="6"/>
  <c r="Q1164" i="6"/>
  <c r="Q1390" i="6"/>
  <c r="Q1211" i="6"/>
  <c r="Q1354" i="6"/>
  <c r="Q1394" i="6"/>
  <c r="Q1305" i="6"/>
  <c r="Q1319" i="6"/>
  <c r="Q1189" i="6"/>
  <c r="Q1273" i="6"/>
  <c r="Q1215" i="6"/>
  <c r="Q1299" i="6"/>
  <c r="Q1198" i="6"/>
  <c r="Q1195" i="6"/>
  <c r="Q1347" i="6"/>
  <c r="Q1432" i="6"/>
  <c r="Q1163" i="6"/>
  <c r="Q1218" i="6"/>
  <c r="Q1285" i="6"/>
  <c r="Q1411" i="6"/>
  <c r="Q1338" i="6"/>
  <c r="Q1310" i="6"/>
  <c r="Q1160" i="6"/>
  <c r="Q1256" i="6"/>
  <c r="Q1402" i="6"/>
  <c r="Q1419" i="6"/>
  <c r="Q1382" i="6"/>
  <c r="Q1255" i="6"/>
  <c r="Q1400" i="6"/>
  <c r="Q1320" i="6"/>
  <c r="Q1429" i="6"/>
  <c r="Q1178" i="6"/>
  <c r="Q1175" i="6"/>
  <c r="Q1266" i="6"/>
  <c r="Q1383" i="6"/>
  <c r="Q1148" i="6"/>
  <c r="Q1296" i="6"/>
  <c r="Q1291" i="6"/>
  <c r="Q1244" i="6"/>
  <c r="Q1370" i="6"/>
  <c r="Q1330" i="6"/>
  <c r="Q1386" i="6"/>
  <c r="Q1204" i="6"/>
  <c r="Q1181" i="6"/>
  <c r="Q1393" i="6"/>
  <c r="Q1398" i="6"/>
  <c r="Q1179" i="6"/>
  <c r="Q1269" i="6"/>
  <c r="Q1372" i="6"/>
  <c r="Q1281" i="6"/>
  <c r="Q1151" i="6"/>
  <c r="Q1396" i="6"/>
  <c r="Q1331" i="6"/>
  <c r="Q1232" i="6"/>
  <c r="Q1268" i="6"/>
  <c r="Q1186" i="6"/>
  <c r="Q1192" i="6"/>
  <c r="Q1409" i="6"/>
  <c r="Q1374" i="6"/>
  <c r="Q1247" i="6"/>
  <c r="Q1395" i="6"/>
  <c r="Q1314" i="6"/>
  <c r="Q1324" i="6"/>
  <c r="Q1144" i="6"/>
  <c r="Q1170" i="6"/>
  <c r="Q1264" i="6"/>
  <c r="Q1378" i="6"/>
  <c r="AG53" i="6"/>
  <c r="Q1249" i="6"/>
  <c r="Q1242" i="6"/>
  <c r="Q1376" i="6"/>
  <c r="Q1187" i="6"/>
  <c r="Q1406" i="6"/>
  <c r="Q1306" i="6"/>
  <c r="Q1431" i="6"/>
  <c r="Q1185" i="6"/>
  <c r="Q1270" i="6"/>
  <c r="Q1369" i="6"/>
  <c r="Q1355" i="6"/>
  <c r="Q1176" i="6"/>
  <c r="Q1342" i="6"/>
  <c r="Q1267" i="6"/>
  <c r="Q1304" i="6"/>
  <c r="Q1252" i="6"/>
  <c r="Q1147" i="6"/>
  <c r="Q1197" i="6"/>
  <c r="Q1345" i="6"/>
  <c r="Q1220" i="6"/>
  <c r="Q1315" i="6"/>
  <c r="Q1413" i="6"/>
  <c r="Q1302" i="6"/>
  <c r="Q1155" i="6"/>
  <c r="Q1248" i="6"/>
  <c r="Q1397" i="6"/>
  <c r="Q1162" i="6"/>
  <c r="Q1438" i="6"/>
  <c r="Q1311" i="6"/>
  <c r="Q1243" i="6"/>
  <c r="Q1373" i="6"/>
  <c r="Q1241" i="6"/>
  <c r="Q1239" i="6"/>
  <c r="Q1371" i="6"/>
  <c r="Q1167" i="6"/>
  <c r="Q1165" i="6"/>
  <c r="Q1313" i="6"/>
  <c r="Q1171" i="6"/>
  <c r="Q1231" i="6"/>
  <c r="Q1364" i="6"/>
  <c r="Q1174" i="6"/>
  <c r="Q1434" i="6"/>
  <c r="Q1251" i="6"/>
  <c r="Q1325" i="6"/>
  <c r="Q1257" i="6"/>
  <c r="Q1399" i="6"/>
  <c r="Q1332" i="6"/>
  <c r="Q1316" i="6"/>
  <c r="Q1329" i="6"/>
  <c r="Q1385" i="6"/>
  <c r="Q1169" i="6"/>
  <c r="Q1214" i="6"/>
  <c r="Q1391" i="6"/>
  <c r="Q1150" i="6"/>
  <c r="Q1377" i="6"/>
  <c r="Q1339" i="6"/>
  <c r="Q1303" i="6"/>
  <c r="Q1322" i="6"/>
  <c r="Q1213" i="6"/>
  <c r="Q1234" i="6"/>
  <c r="Q1416" i="6"/>
  <c r="Q1221" i="6"/>
  <c r="Q1194" i="6"/>
  <c r="Q1421" i="6"/>
  <c r="Q1229" i="6"/>
  <c r="Q1199" i="6"/>
  <c r="Q1426" i="6"/>
  <c r="Q1341" i="6"/>
  <c r="Q1238" i="6"/>
  <c r="Q1312" i="6"/>
  <c r="Q1381" i="6"/>
  <c r="Q1343" i="6"/>
  <c r="Q1365" i="6"/>
  <c r="Q1417" i="6"/>
  <c r="Q1287" i="6"/>
  <c r="Q1158" i="6"/>
  <c r="Q1219" i="6"/>
  <c r="Q1172" i="6"/>
  <c r="Q1205" i="6"/>
  <c r="Q1200" i="6"/>
  <c r="Q1290" i="6"/>
  <c r="Q1168" i="6"/>
  <c r="Q1161" i="6"/>
  <c r="Q1280" i="6"/>
  <c r="Q1202" i="6"/>
  <c r="Q1166" i="6"/>
  <c r="Q1282" i="6"/>
  <c r="Q1207" i="6"/>
  <c r="Q1263" i="6"/>
  <c r="Q1307" i="6"/>
  <c r="Q1279" i="6"/>
  <c r="Q1180" i="6"/>
  <c r="Q1436" i="6"/>
  <c r="Q1441" i="6"/>
  <c r="Q1173" i="6"/>
  <c r="Q1209" i="6"/>
  <c r="Q1237" i="6"/>
  <c r="Q1190" i="6"/>
  <c r="Q1227" i="6"/>
  <c r="Q1295" i="6"/>
  <c r="Q1392" i="6"/>
  <c r="Q1366" i="6"/>
  <c r="Q1156" i="6"/>
  <c r="Q1368" i="6"/>
  <c r="Q1246" i="6"/>
  <c r="Q1230" i="6"/>
  <c r="Q1442" i="6"/>
  <c r="Q1254" i="6"/>
  <c r="Q1235" i="6"/>
  <c r="Q1407" i="6"/>
  <c r="Q1262" i="6"/>
  <c r="Q1245" i="6"/>
  <c r="Q1412" i="6"/>
  <c r="Q1261" i="6"/>
  <c r="Q1317" i="6"/>
  <c r="Q1328" i="6"/>
  <c r="Q1278" i="6"/>
  <c r="Q1334" i="6"/>
  <c r="Q1210" i="6"/>
  <c r="Q1427" i="6"/>
  <c r="Q1350" i="6"/>
  <c r="Q1323" i="6"/>
  <c r="Q1240" i="6"/>
  <c r="Q1430" i="6"/>
  <c r="Q1349" i="6"/>
  <c r="Q1297" i="6"/>
  <c r="Q1352" i="6"/>
  <c r="Q1159" i="6"/>
  <c r="Q1359" i="6"/>
  <c r="Q1233" i="6"/>
  <c r="Q1433" i="6"/>
  <c r="Q1183" i="6"/>
  <c r="Q1300" i="6"/>
  <c r="Q1321" i="6"/>
  <c r="Q1410" i="6"/>
  <c r="Q1145" i="6"/>
  <c r="Q1353" i="6"/>
  <c r="Q1276" i="6"/>
  <c r="Q1301" i="6"/>
  <c r="Q1201" i="6"/>
  <c r="Q1182" i="6"/>
  <c r="Q1388" i="6"/>
  <c r="Q1146" i="6"/>
  <c r="Q1224" i="6"/>
  <c r="Q1293" i="6"/>
  <c r="Q1196" i="6"/>
  <c r="Q1415" i="6"/>
  <c r="Q1308" i="6"/>
  <c r="Q1414" i="6"/>
  <c r="Q1294" i="6"/>
  <c r="Q1348" i="6"/>
  <c r="Q1203" i="6"/>
  <c r="Q1401" i="6"/>
  <c r="Q1154" i="6"/>
  <c r="Q1335" i="6"/>
  <c r="Q1228" i="6"/>
  <c r="Q1428" i="6"/>
  <c r="Q1292" i="6"/>
  <c r="Q1384" i="6"/>
  <c r="Q1298" i="6"/>
  <c r="Q1250" i="6"/>
  <c r="Q1272" i="6"/>
  <c r="Q1362" i="6"/>
  <c r="Q1363" i="6"/>
  <c r="Q1283" i="6"/>
  <c r="Q1253" i="6"/>
  <c r="Q1216" i="6"/>
  <c r="Q1336" i="6"/>
  <c r="Q1191" i="6"/>
  <c r="Q1236" i="6"/>
  <c r="Q1367" i="6"/>
  <c r="Q1258" i="6"/>
  <c r="Q1277" i="6"/>
  <c r="Q1149" i="6"/>
  <c r="Q1440" i="6"/>
  <c r="Q1356" i="6"/>
  <c r="Q1193" i="6"/>
  <c r="Q1358" i="6"/>
  <c r="Q1425" i="6"/>
  <c r="Q1289" i="6"/>
  <c r="Q1437" i="6"/>
  <c r="Q1223" i="6"/>
  <c r="Q1423" i="6"/>
  <c r="Q1284" i="6"/>
  <c r="Q1379" i="6"/>
  <c r="Q1309" i="6"/>
  <c r="Q1275" i="6"/>
  <c r="Q1389" i="6"/>
  <c r="Q1206" i="6"/>
  <c r="Q1357" i="6"/>
  <c r="Q1380" i="6"/>
  <c r="Q1422" i="6"/>
  <c r="Q1288" i="6"/>
  <c r="Q1333" i="6"/>
  <c r="Q1340" i="6"/>
  <c r="Q1259" i="6"/>
  <c r="Q1360" i="6"/>
  <c r="Q1265" i="6"/>
  <c r="Q1271" i="6"/>
  <c r="Q1184" i="6"/>
  <c r="Q1418" i="6"/>
  <c r="Q1443" i="6"/>
  <c r="Q1439" i="6"/>
  <c r="Q1217" i="6"/>
  <c r="Q1408" i="6"/>
  <c r="Q1260" i="6"/>
  <c r="Q1225" i="6"/>
  <c r="Q1375" i="6"/>
  <c r="Q1157" i="6"/>
  <c r="Q1326" i="6"/>
  <c r="Q1405" i="6"/>
  <c r="Q1188" i="6"/>
  <c r="Q1344" i="6"/>
  <c r="Q1346" i="6"/>
  <c r="Q1404" i="6"/>
  <c r="Q1361" i="6"/>
  <c r="Q1351" i="6"/>
  <c r="Q1318" i="6"/>
  <c r="Q1327" i="6"/>
  <c r="Q1424" i="6"/>
  <c r="Q1152" i="6"/>
  <c r="Q1403" i="6"/>
  <c r="Q1420" i="6"/>
  <c r="Q1286" i="6"/>
  <c r="Q1212" i="6"/>
  <c r="Q1208" i="6"/>
  <c r="M1189" i="6"/>
  <c r="M1171" i="6"/>
  <c r="M1260" i="6"/>
  <c r="M1425" i="6"/>
  <c r="M1200" i="6"/>
  <c r="M1282" i="6"/>
  <c r="M1251" i="6"/>
  <c r="M1414" i="6"/>
  <c r="M1155" i="6"/>
  <c r="M1172" i="6"/>
  <c r="M1332" i="6"/>
  <c r="M1417" i="6"/>
  <c r="M1376" i="6"/>
  <c r="M1394" i="6"/>
  <c r="M1154" i="6"/>
  <c r="M1184" i="6"/>
  <c r="M1305" i="6"/>
  <c r="M1192" i="6"/>
  <c r="M1188" i="6"/>
  <c r="M1288" i="6"/>
  <c r="M1403" i="6"/>
  <c r="M1275" i="6"/>
  <c r="M1310" i="6"/>
  <c r="M1330" i="6"/>
  <c r="M1173" i="6"/>
  <c r="M1424" i="6"/>
  <c r="M1369" i="6"/>
  <c r="M1176" i="6"/>
  <c r="M1368" i="6"/>
  <c r="M1420" i="6"/>
  <c r="M1243" i="6"/>
  <c r="M1363" i="6"/>
  <c r="M1270" i="6"/>
  <c r="M1380" i="6"/>
  <c r="M1298" i="6"/>
  <c r="M1327" i="6"/>
  <c r="M1358" i="6"/>
  <c r="M1213" i="6"/>
  <c r="M1263" i="6"/>
  <c r="M1239" i="6"/>
  <c r="M1393" i="6"/>
  <c r="M1144" i="6"/>
  <c r="M1250" i="6"/>
  <c r="M1413" i="6"/>
  <c r="M1148" i="6"/>
  <c r="M1292" i="6"/>
  <c r="M1209" i="6"/>
  <c r="M1193" i="6"/>
  <c r="M1357" i="6"/>
  <c r="M1398" i="6"/>
  <c r="M1295" i="6"/>
  <c r="M1315" i="6"/>
  <c r="M1196" i="6"/>
  <c r="M1353" i="6"/>
  <c r="M1309" i="6"/>
  <c r="M1258" i="6"/>
  <c r="M1168" i="6"/>
  <c r="M1337" i="6"/>
  <c r="M1383" i="6"/>
  <c r="M1352" i="6"/>
  <c r="M1285" i="6"/>
  <c r="M1356" i="6"/>
  <c r="M1145" i="6"/>
  <c r="M1392" i="6"/>
  <c r="M1215" i="6"/>
  <c r="M1159" i="6"/>
  <c r="M1167" i="6"/>
  <c r="M1416" i="6"/>
  <c r="M1156" i="6"/>
  <c r="M1198" i="6"/>
  <c r="M1233" i="6"/>
  <c r="M1436" i="6"/>
  <c r="M1333" i="6"/>
  <c r="M1402" i="6"/>
  <c r="M1202" i="6"/>
  <c r="M1224" i="6"/>
  <c r="M1201" i="6"/>
  <c r="M1338" i="6"/>
  <c r="M1360" i="6"/>
  <c r="M1162" i="6"/>
  <c r="M1274" i="6"/>
  <c r="M1236" i="6"/>
  <c r="M1259" i="6"/>
  <c r="M1433" i="6"/>
  <c r="M1312" i="6"/>
  <c r="M1186" i="6"/>
  <c r="M1319" i="6"/>
  <c r="M1435" i="6"/>
  <c r="M1211" i="6"/>
  <c r="M1432" i="6"/>
  <c r="M1216" i="6"/>
  <c r="M1151" i="6"/>
  <c r="M1180" i="6"/>
  <c r="M1256" i="6"/>
  <c r="M1185" i="6"/>
  <c r="M1430" i="6"/>
  <c r="M1277" i="6"/>
  <c r="M1234" i="6"/>
  <c r="M1246" i="6"/>
  <c r="M1423" i="6"/>
  <c r="M1161" i="6"/>
  <c r="M1226" i="6"/>
  <c r="M1261" i="6"/>
  <c r="M1407" i="6"/>
  <c r="M1194" i="6"/>
  <c r="M1269" i="6"/>
  <c r="M1367" i="6"/>
  <c r="M1323" i="6"/>
  <c r="M1371" i="6"/>
  <c r="M1378" i="6"/>
  <c r="M1406" i="6"/>
  <c r="M1267" i="6"/>
  <c r="M1415" i="6"/>
  <c r="M1308" i="6"/>
  <c r="M1314" i="6"/>
  <c r="M1287" i="6"/>
  <c r="M1405" i="6"/>
  <c r="M1291" i="6"/>
  <c r="M1276" i="6"/>
  <c r="M1428" i="6"/>
  <c r="M1272" i="6"/>
  <c r="M1175" i="6"/>
  <c r="M1190" i="6"/>
  <c r="M1210" i="6"/>
  <c r="M1328" i="6"/>
  <c r="M1343" i="6"/>
  <c r="M1313" i="6"/>
  <c r="M1347" i="6"/>
  <c r="M1441" i="6"/>
  <c r="L1229" i="6"/>
  <c r="M1231" i="6"/>
  <c r="M1242" i="6"/>
  <c r="M1266" i="6"/>
  <c r="M1271" i="6"/>
  <c r="M1187" i="6"/>
  <c r="M1197" i="6"/>
  <c r="M1225" i="6"/>
  <c r="M1217" i="6"/>
  <c r="L1411" i="6"/>
  <c r="M1199" i="6"/>
  <c r="M1381" i="6"/>
  <c r="M1166" i="6"/>
  <c r="M1220" i="6"/>
  <c r="M1208" i="6"/>
  <c r="M1401" i="6"/>
  <c r="M1284" i="6"/>
  <c r="M1265" i="6"/>
  <c r="L1367" i="6"/>
  <c r="N1158" i="6"/>
  <c r="N1226" i="6"/>
  <c r="N1278" i="6"/>
  <c r="N1325" i="6"/>
  <c r="N1211" i="6"/>
  <c r="N1185" i="6"/>
  <c r="N1238" i="6"/>
  <c r="N1228" i="6"/>
  <c r="N1197" i="6"/>
  <c r="N1359" i="6"/>
  <c r="N1435" i="6"/>
  <c r="N1157" i="6"/>
  <c r="N1179" i="6"/>
  <c r="N1245" i="6"/>
  <c r="L1204" i="6"/>
  <c r="L1252" i="6"/>
  <c r="L1238" i="6"/>
  <c r="L1392" i="6"/>
  <c r="L1397" i="6"/>
  <c r="L1298" i="6"/>
  <c r="L1206" i="6"/>
  <c r="L1234" i="6"/>
  <c r="L1231" i="6"/>
  <c r="L1352" i="6"/>
  <c r="L1216" i="6"/>
  <c r="L1319" i="6"/>
  <c r="L1317" i="6"/>
  <c r="L1384" i="6"/>
  <c r="L1261" i="6"/>
  <c r="L1431" i="6"/>
  <c r="L1245" i="6"/>
  <c r="L1156" i="6"/>
  <c r="L1211" i="6"/>
  <c r="L1246" i="6"/>
  <c r="L1208" i="6"/>
  <c r="L1440" i="6"/>
  <c r="L1326" i="6"/>
  <c r="L1343" i="6"/>
  <c r="L1168" i="6"/>
  <c r="M1409" i="6"/>
  <c r="M1384" i="6"/>
  <c r="M1359" i="6"/>
  <c r="M1400" i="6"/>
  <c r="M1205" i="6"/>
  <c r="M1439" i="6"/>
  <c r="M1182" i="6"/>
  <c r="M1273" i="6"/>
  <c r="M1160" i="6"/>
  <c r="M1227" i="6"/>
  <c r="M1438" i="6"/>
  <c r="M1390" i="6"/>
  <c r="M1387" i="6"/>
  <c r="M1299" i="6"/>
  <c r="M1257" i="6"/>
  <c r="M1331" i="6"/>
  <c r="M1303" i="6"/>
  <c r="M1341" i="6"/>
  <c r="M1280" i="6"/>
  <c r="M1443" i="6"/>
  <c r="M1169" i="6"/>
  <c r="M1324" i="6"/>
  <c r="M1365" i="6"/>
  <c r="M1152" i="6"/>
  <c r="M1306" i="6"/>
  <c r="M1395" i="6"/>
  <c r="M1391" i="6"/>
  <c r="M1345" i="6"/>
  <c r="M1321" i="6"/>
  <c r="M1304" i="6"/>
  <c r="M1434" i="6"/>
  <c r="M1440" i="6"/>
  <c r="M1316" i="6"/>
  <c r="M1174" i="6"/>
  <c r="M1404" i="6"/>
  <c r="M1426" i="6"/>
  <c r="M1241" i="6"/>
  <c r="M1147" i="6"/>
  <c r="M1237" i="6"/>
  <c r="M1364" i="6"/>
  <c r="L1159" i="6"/>
  <c r="L1324" i="6"/>
  <c r="N1171" i="6"/>
  <c r="N1258" i="6"/>
  <c r="N1285" i="6"/>
  <c r="N1344" i="6"/>
  <c r="N1367" i="6"/>
  <c r="N1146" i="6"/>
  <c r="N1163" i="6"/>
  <c r="N1293" i="6"/>
  <c r="N1222" i="6"/>
  <c r="N1345" i="6"/>
  <c r="N1369" i="6"/>
  <c r="N1330" i="6"/>
  <c r="M1372" i="6"/>
  <c r="M1179" i="6"/>
  <c r="M1385" i="6"/>
  <c r="M1249" i="6"/>
  <c r="M1366" i="6"/>
  <c r="M1149" i="6"/>
  <c r="M1373" i="6"/>
  <c r="M1325" i="6"/>
  <c r="L1200" i="6"/>
  <c r="AG31" i="6"/>
  <c r="M1427" i="6"/>
  <c r="M1410" i="6"/>
  <c r="M1232" i="6"/>
  <c r="M1421" i="6"/>
  <c r="M1293" i="6"/>
  <c r="M1301" i="6"/>
  <c r="M1206" i="6"/>
  <c r="M1302" i="6"/>
  <c r="M1158" i="6"/>
  <c r="L1370" i="6"/>
  <c r="N1151" i="6"/>
  <c r="N1237" i="6"/>
  <c r="N1341" i="6"/>
  <c r="N1156" i="6"/>
  <c r="N1396" i="6"/>
  <c r="N1354" i="6"/>
  <c r="N1333" i="6"/>
  <c r="N1402" i="6"/>
  <c r="N1356" i="6"/>
  <c r="N1284" i="6"/>
  <c r="N1172" i="6"/>
  <c r="N1170" i="6"/>
  <c r="N1401" i="6"/>
  <c r="N1283" i="6"/>
  <c r="N1386" i="6"/>
  <c r="N1428" i="6"/>
  <c r="N1377" i="6"/>
  <c r="N1299" i="6"/>
  <c r="N1353" i="6"/>
  <c r="N1296" i="6"/>
  <c r="N1399" i="6"/>
  <c r="N1224" i="6"/>
  <c r="N1204" i="6"/>
  <c r="N1252" i="6"/>
  <c r="N1427" i="6"/>
  <c r="N1298" i="6"/>
  <c r="N1335" i="6"/>
  <c r="N1269" i="6"/>
  <c r="N1149" i="6"/>
  <c r="N1201" i="6"/>
  <c r="N1307" i="6"/>
  <c r="N1192" i="6"/>
  <c r="N1323" i="6"/>
  <c r="N1240" i="6"/>
  <c r="N1408" i="6"/>
  <c r="N1159" i="6"/>
  <c r="N1379" i="6"/>
  <c r="N1316" i="6"/>
  <c r="N1418" i="6"/>
  <c r="N1242" i="6"/>
  <c r="N1326" i="6"/>
  <c r="N1388" i="6"/>
  <c r="N1370" i="6"/>
  <c r="N1273" i="6"/>
  <c r="N1229" i="6"/>
  <c r="N1176" i="6"/>
  <c r="N1321" i="6"/>
  <c r="N1153" i="6"/>
  <c r="N1382" i="6"/>
  <c r="N1202" i="6"/>
  <c r="N1155" i="6"/>
  <c r="N1169" i="6"/>
  <c r="N1337" i="6"/>
  <c r="N1395" i="6"/>
  <c r="N1265" i="6"/>
  <c r="N1436" i="6"/>
  <c r="N1221" i="6"/>
  <c r="N1392" i="6"/>
  <c r="N1200" i="6"/>
  <c r="N1190" i="6"/>
  <c r="N1385" i="6"/>
  <c r="N1351" i="6"/>
  <c r="N1286" i="6"/>
  <c r="N1375" i="6"/>
  <c r="N1281" i="6"/>
  <c r="N1338" i="6"/>
  <c r="N1257" i="6"/>
  <c r="N1389" i="6"/>
  <c r="N1164" i="6"/>
  <c r="N1390" i="6"/>
  <c r="N1144" i="6"/>
  <c r="N1376" i="6"/>
  <c r="N1291" i="6"/>
  <c r="N1343" i="6"/>
  <c r="N1431" i="6"/>
  <c r="N1246" i="6"/>
  <c r="N1413" i="6"/>
  <c r="N1274" i="6"/>
  <c r="N1180" i="6"/>
  <c r="N1440" i="6"/>
  <c r="N1251" i="6"/>
  <c r="N1300" i="6"/>
  <c r="N1154" i="6"/>
  <c r="N1422" i="6"/>
  <c r="N1160" i="6"/>
  <c r="N1360" i="6"/>
  <c r="N1259" i="6"/>
  <c r="N1250" i="6"/>
  <c r="N1350" i="6"/>
  <c r="N1423" i="6"/>
  <c r="N1348" i="6"/>
  <c r="N1404" i="6"/>
  <c r="N1358" i="6"/>
  <c r="N1324" i="6"/>
  <c r="N1183" i="6"/>
  <c r="N1301" i="6"/>
  <c r="N1256" i="6"/>
  <c r="N1166" i="6"/>
  <c r="N1277" i="6"/>
  <c r="N1290" i="6"/>
  <c r="N1346" i="6"/>
  <c r="N1303" i="6"/>
  <c r="N1148" i="6"/>
  <c r="N1244" i="6"/>
  <c r="N1434" i="6"/>
  <c r="N1255" i="6"/>
  <c r="N1209" i="6"/>
  <c r="N1243" i="6"/>
  <c r="N1409" i="6"/>
  <c r="N1234" i="6"/>
  <c r="N1216" i="6"/>
  <c r="N1213" i="6"/>
  <c r="N1411" i="6"/>
  <c r="N1260" i="6"/>
  <c r="N1371" i="6"/>
  <c r="N1203" i="6"/>
  <c r="N1304" i="6"/>
  <c r="N1314" i="6"/>
  <c r="N1364" i="6"/>
  <c r="N1271" i="6"/>
  <c r="N1328" i="6"/>
  <c r="N1184" i="6"/>
  <c r="N1239" i="6"/>
  <c r="N1165" i="6"/>
  <c r="N1327" i="6"/>
  <c r="N1313" i="6"/>
  <c r="N1372" i="6"/>
  <c r="N1241" i="6"/>
  <c r="N1150" i="6"/>
  <c r="N1264" i="6"/>
  <c r="N1378" i="6"/>
  <c r="N1374" i="6"/>
  <c r="N1212" i="6"/>
  <c r="N1220" i="6"/>
  <c r="N1432" i="6"/>
  <c r="N1210" i="6"/>
  <c r="N1438" i="6"/>
  <c r="N1161" i="6"/>
  <c r="N1254" i="6"/>
  <c r="N1439" i="6"/>
  <c r="N1302" i="6"/>
  <c r="N1430" i="6"/>
  <c r="N1280" i="6"/>
  <c r="N1223" i="6"/>
  <c r="N1253" i="6"/>
  <c r="N1189" i="6"/>
  <c r="N1194" i="6"/>
  <c r="N1145" i="6"/>
  <c r="N1357" i="6"/>
  <c r="N1262" i="6"/>
  <c r="N1261" i="6"/>
  <c r="N1387" i="6"/>
  <c r="N1340" i="6"/>
  <c r="N1421" i="6"/>
  <c r="N1218" i="6"/>
  <c r="N1227" i="6"/>
  <c r="N1236" i="6"/>
  <c r="N1188" i="6"/>
  <c r="N1177" i="6"/>
  <c r="N1178" i="6"/>
  <c r="N1320" i="6"/>
  <c r="N1415" i="6"/>
  <c r="N1398" i="6"/>
  <c r="N1275" i="6"/>
  <c r="N1397" i="6"/>
  <c r="N1433" i="6"/>
  <c r="N1247" i="6"/>
  <c r="N1416" i="6"/>
  <c r="N1311" i="6"/>
  <c r="N1368" i="6"/>
  <c r="N1318" i="6"/>
  <c r="N1443" i="6"/>
  <c r="M1340" i="6"/>
  <c r="M1222" i="6"/>
  <c r="M1339" i="6"/>
  <c r="M1289" i="6"/>
  <c r="M1207" i="6"/>
  <c r="M1279" i="6"/>
  <c r="M1268" i="6"/>
  <c r="M1349" i="6"/>
  <c r="M1311" i="6"/>
  <c r="M1329" i="6"/>
  <c r="M1195" i="6"/>
  <c r="M1307" i="6"/>
  <c r="M1290" i="6"/>
  <c r="M1300" i="6"/>
  <c r="M1191" i="6"/>
  <c r="M1297" i="6"/>
  <c r="M1253" i="6"/>
  <c r="M1204" i="6"/>
  <c r="M1370" i="6"/>
  <c r="M1396" i="6"/>
  <c r="M1382" i="6"/>
  <c r="M1244" i="6"/>
  <c r="M1240" i="6"/>
  <c r="M1223" i="6"/>
  <c r="M1408" i="6"/>
  <c r="M1355" i="6"/>
  <c r="M1283" i="6"/>
  <c r="M1334" i="6"/>
  <c r="M1218" i="6"/>
  <c r="M1389" i="6"/>
  <c r="M1247" i="6"/>
  <c r="L1162" i="6"/>
  <c r="L1413" i="6"/>
  <c r="N1417" i="6"/>
  <c r="N1235" i="6"/>
  <c r="N1167" i="6"/>
  <c r="N1426" i="6"/>
  <c r="N1420" i="6"/>
  <c r="N1193" i="6"/>
  <c r="N1400" i="6"/>
  <c r="N1174" i="6"/>
  <c r="N1219" i="6"/>
  <c r="N1393" i="6"/>
  <c r="N1383" i="6"/>
  <c r="N1207" i="6"/>
  <c r="N1437" i="6"/>
  <c r="L1359" i="6"/>
  <c r="L1395" i="6"/>
  <c r="L1355" i="6"/>
  <c r="L1281" i="6"/>
  <c r="L1190" i="6"/>
  <c r="L1402" i="6"/>
  <c r="L1423" i="6"/>
  <c r="L1210" i="6"/>
  <c r="L1180" i="6"/>
  <c r="L1330" i="6"/>
  <c r="L1286" i="6"/>
  <c r="L1164" i="6"/>
  <c r="L1222" i="6"/>
  <c r="L1442" i="6"/>
  <c r="L1240" i="6"/>
  <c r="L1287" i="6"/>
  <c r="L1215" i="6"/>
  <c r="L1167" i="6"/>
  <c r="L1224" i="6"/>
  <c r="L1165" i="6"/>
  <c r="L1299" i="6"/>
  <c r="L1368" i="6"/>
  <c r="L1437" i="6"/>
  <c r="L1237" i="6"/>
  <c r="L1277" i="6"/>
  <c r="L1439" i="6"/>
  <c r="L1253" i="6"/>
  <c r="L1311" i="6"/>
  <c r="L1195" i="6"/>
  <c r="L1434" i="6"/>
  <c r="L1430" i="6"/>
  <c r="L1144" i="6"/>
  <c r="L1404" i="6"/>
  <c r="L1340" i="6"/>
  <c r="L1183" i="6"/>
  <c r="L1182" i="6"/>
  <c r="L1373" i="6"/>
  <c r="L1171" i="6"/>
  <c r="L1153" i="6"/>
  <c r="L1254" i="6"/>
  <c r="L1316" i="6"/>
  <c r="L1428" i="6"/>
  <c r="L1293" i="6"/>
  <c r="L1271" i="6"/>
  <c r="L1353" i="6"/>
  <c r="L1203" i="6"/>
  <c r="L1398" i="6"/>
  <c r="L1320" i="6"/>
  <c r="L1435" i="6"/>
  <c r="L1417" i="6"/>
  <c r="L1241" i="6"/>
  <c r="L1205" i="6"/>
  <c r="L1184" i="6"/>
  <c r="L1399" i="6"/>
  <c r="L1166" i="6"/>
  <c r="L1386" i="6"/>
  <c r="L1247" i="6"/>
  <c r="L1344" i="6"/>
  <c r="L1274" i="6"/>
  <c r="L1379" i="6"/>
  <c r="L1291" i="6"/>
  <c r="L1322" i="6"/>
  <c r="L1194" i="6"/>
  <c r="L1185" i="6"/>
  <c r="L1221" i="6"/>
  <c r="L1297" i="6"/>
  <c r="L1336" i="6"/>
  <c r="L1306" i="6"/>
  <c r="L1147" i="6"/>
  <c r="L1441" i="6"/>
  <c r="L1334" i="6"/>
  <c r="L1227" i="6"/>
  <c r="L1385" i="6"/>
  <c r="L1419" i="6"/>
  <c r="L1300" i="6"/>
  <c r="L1391" i="6"/>
  <c r="L1371" i="6"/>
  <c r="L1255" i="6"/>
  <c r="L1173" i="6"/>
  <c r="L1393" i="6"/>
  <c r="L1199" i="6"/>
  <c r="L1432" i="6"/>
  <c r="L1387" i="6"/>
  <c r="L1186" i="6"/>
  <c r="L1315" i="6"/>
  <c r="L1282" i="6"/>
  <c r="L1189" i="6"/>
  <c r="L1346" i="6"/>
  <c r="L1258" i="6"/>
  <c r="L1174" i="6"/>
  <c r="L1225" i="6"/>
  <c r="L1170" i="6"/>
  <c r="L1327" i="6"/>
  <c r="L1226" i="6"/>
  <c r="L1412" i="6"/>
  <c r="L1196" i="6"/>
  <c r="L1266" i="6"/>
  <c r="L1212" i="6"/>
  <c r="L1342" i="6"/>
  <c r="L1160" i="6"/>
  <c r="L1310" i="6"/>
  <c r="L1149" i="6"/>
  <c r="L1424" i="6"/>
  <c r="L1302" i="6"/>
  <c r="L1262" i="6"/>
  <c r="L1409" i="6"/>
  <c r="L1337" i="6"/>
  <c r="L1294" i="6"/>
  <c r="L1188" i="6"/>
  <c r="L1230" i="6"/>
  <c r="L1414" i="6"/>
  <c r="L1333" i="6"/>
  <c r="L1150" i="6"/>
  <c r="L1394" i="6"/>
  <c r="L1278" i="6"/>
  <c r="L1187" i="6"/>
  <c r="L1312" i="6"/>
  <c r="L1332" i="6"/>
  <c r="L1436" i="6"/>
  <c r="L1390" i="6"/>
  <c r="L1366" i="6"/>
  <c r="L1406" i="6"/>
  <c r="L1248" i="6"/>
  <c r="L1396" i="6"/>
  <c r="L1426" i="6"/>
  <c r="L1163" i="6"/>
  <c r="L1220" i="6"/>
  <c r="L1239" i="6"/>
  <c r="L1369" i="6"/>
  <c r="L1295" i="6"/>
  <c r="L1410" i="6"/>
  <c r="L1169" i="6"/>
  <c r="L1243" i="6"/>
  <c r="L1244" i="6"/>
  <c r="L1407" i="6"/>
  <c r="L1152" i="6"/>
  <c r="L1209" i="6"/>
  <c r="L1191" i="6"/>
  <c r="L1361" i="6"/>
  <c r="L1296" i="6"/>
  <c r="L1372" i="6"/>
  <c r="L1408" i="6"/>
  <c r="L1273" i="6"/>
  <c r="L1288" i="6"/>
  <c r="L1155" i="6"/>
  <c r="L1403" i="6"/>
  <c r="L1213" i="6"/>
  <c r="L1374" i="6"/>
  <c r="L1292" i="6"/>
  <c r="Q1222" i="6"/>
  <c r="L1415" i="6"/>
  <c r="L1400" i="6"/>
  <c r="L1172" i="6"/>
  <c r="L1313" i="6"/>
  <c r="L1335" i="6"/>
  <c r="L1228" i="6"/>
  <c r="L1179" i="6"/>
  <c r="L1305" i="6"/>
  <c r="L1389" i="6"/>
  <c r="L1325" i="6"/>
  <c r="L1270" i="6"/>
  <c r="L1249" i="6"/>
  <c r="L1357" i="6"/>
  <c r="L1267" i="6"/>
  <c r="L1376" i="6"/>
  <c r="L1157" i="6"/>
  <c r="L1382" i="6"/>
  <c r="L1308" i="6"/>
  <c r="L1148" i="6"/>
  <c r="L1219" i="6"/>
  <c r="L1263" i="6"/>
  <c r="L1416" i="6"/>
  <c r="L1272" i="6"/>
  <c r="L1260" i="6"/>
  <c r="L1349" i="6"/>
  <c r="L1364" i="6"/>
  <c r="L1280" i="6"/>
  <c r="L1193" i="6"/>
  <c r="L1341" i="6"/>
  <c r="L1347" i="6"/>
  <c r="L1381" i="6"/>
  <c r="L1443" i="6"/>
  <c r="L1269" i="6"/>
  <c r="L1345" i="6"/>
  <c r="L1401" i="6"/>
  <c r="L1236" i="6"/>
  <c r="L1429" i="6"/>
  <c r="Q1153" i="6"/>
  <c r="L1250" i="6"/>
  <c r="L1420" i="6"/>
  <c r="L1383" i="6"/>
  <c r="L1197" i="6"/>
  <c r="L1275" i="6"/>
  <c r="L1289" i="6"/>
  <c r="L1158" i="6"/>
  <c r="L1178" i="6"/>
  <c r="L1242" i="6"/>
  <c r="L1303" i="6"/>
  <c r="L1151" i="6"/>
  <c r="L1418" i="6"/>
  <c r="L1331" i="6"/>
  <c r="L1318" i="6"/>
  <c r="L1301" i="6"/>
  <c r="L1268" i="6"/>
  <c r="L1328" i="6"/>
  <c r="L1232" i="6"/>
  <c r="L1362" i="6"/>
  <c r="L1304" i="6"/>
  <c r="L1377" i="6"/>
  <c r="L1365" i="6"/>
  <c r="L1307" i="6"/>
  <c r="L1201" i="6"/>
  <c r="L1339" i="6"/>
  <c r="L1207" i="6"/>
  <c r="L1259" i="6"/>
  <c r="L1438" i="6"/>
  <c r="L1145" i="6"/>
  <c r="L1202" i="6"/>
  <c r="L1363" i="6"/>
  <c r="L1388" i="6"/>
  <c r="L1146" i="6"/>
  <c r="L1283" i="6"/>
  <c r="L1356" i="6"/>
  <c r="L1251" i="6"/>
  <c r="L1284" i="6"/>
  <c r="L1323" i="6"/>
  <c r="N1279" i="6"/>
  <c r="N1272" i="6"/>
  <c r="N1270" i="6"/>
  <c r="N1312" i="6"/>
  <c r="N1355" i="6"/>
  <c r="N1362" i="6"/>
  <c r="N1305" i="6"/>
  <c r="N1233" i="6"/>
  <c r="N1182" i="6"/>
  <c r="N1168" i="6"/>
  <c r="Q1337" i="6"/>
  <c r="L1276" i="6"/>
  <c r="L1192" i="6"/>
  <c r="L1264" i="6"/>
  <c r="L1176" i="6"/>
  <c r="L1223" i="6"/>
  <c r="L1218" i="6"/>
  <c r="L1338" i="6"/>
  <c r="L1256" i="6"/>
  <c r="L1257" i="6"/>
  <c r="L1427" i="6"/>
  <c r="L1348" i="6"/>
  <c r="L1279" i="6"/>
  <c r="L1354" i="6"/>
  <c r="L1421" i="6"/>
  <c r="L1177" i="6"/>
  <c r="L1360" i="6"/>
  <c r="L1314" i="6"/>
  <c r="L1214" i="6"/>
  <c r="L1358" i="6"/>
  <c r="L1198" i="6"/>
  <c r="L1285" i="6"/>
  <c r="L1378" i="6"/>
  <c r="L1375" i="6"/>
  <c r="L1235" i="6"/>
  <c r="L1175" i="6"/>
  <c r="L1329" i="6"/>
  <c r="L1290" i="6"/>
  <c r="L1161" i="6"/>
  <c r="L1350" i="6"/>
  <c r="L1321" i="6"/>
  <c r="L1217" i="6"/>
  <c r="L1422" i="6"/>
  <c r="L1380" i="6"/>
  <c r="L1233" i="6"/>
  <c r="L1181" i="6"/>
  <c r="L1265" i="6"/>
  <c r="L1351" i="6"/>
  <c r="N1403" i="6"/>
  <c r="N1405" i="6"/>
  <c r="N1214" i="6"/>
  <c r="N1366" i="6"/>
  <c r="N1295" i="6"/>
  <c r="N1196" i="6"/>
  <c r="N1442" i="6"/>
  <c r="N1162" i="6"/>
  <c r="N1315" i="6"/>
  <c r="N1352" i="6"/>
  <c r="S34" i="6" l="1" a="1"/>
  <c r="S34" i="6" s="1"/>
  <c r="S40" i="6" a="1"/>
  <c r="S38" i="6" a="1"/>
  <c r="S30" i="6" a="1"/>
  <c r="S32" i="6" a="1"/>
  <c r="S32" i="6" s="1"/>
  <c r="AG35" i="6"/>
  <c r="AF64" i="6"/>
  <c r="AG64" i="6" s="1"/>
  <c r="AF32" i="6"/>
  <c r="AG46" i="6" l="1"/>
  <c r="V29" i="6"/>
  <c r="S38" i="6"/>
  <c r="S40" i="6"/>
  <c r="S30" i="6"/>
  <c r="AF65" i="6" s="1"/>
  <c r="AG65" i="6" s="1"/>
  <c r="AG50" i="6"/>
  <c r="AG49" i="6"/>
  <c r="AF41" i="6"/>
  <c r="AG41" i="6" s="1"/>
  <c r="AF43" i="6"/>
  <c r="AF50" i="6"/>
  <c r="AF37" i="6"/>
  <c r="AF49" i="6"/>
  <c r="AF44" i="6"/>
  <c r="AF38" i="6"/>
  <c r="AG38" i="6" s="1"/>
  <c r="AF67" i="6"/>
  <c r="AG62" i="6"/>
  <c r="AF29" i="6"/>
  <c r="AF40" i="6"/>
  <c r="AG40" i="6" s="1"/>
  <c r="AG32" i="6"/>
  <c r="W36" i="6" l="1"/>
  <c r="V32" i="6"/>
  <c r="W29" i="6"/>
  <c r="V30" i="6"/>
  <c r="AG43" i="6"/>
  <c r="AF61" i="6"/>
  <c r="AF68" i="6"/>
  <c r="AG68" i="6" s="1"/>
  <c r="AF56" i="6"/>
  <c r="AF52" i="6"/>
  <c r="AG52" i="6" s="1"/>
  <c r="AF55" i="6"/>
  <c r="AF58" i="6"/>
  <c r="AG67" i="6"/>
  <c r="AF62" i="6"/>
  <c r="V31" i="6"/>
  <c r="AG37" i="6"/>
  <c r="AG44" i="6"/>
  <c r="AG29" i="6"/>
  <c r="W30" i="6" s="1"/>
  <c r="V36" i="6" l="1"/>
  <c r="W32" i="6"/>
  <c r="W31" i="6"/>
  <c r="AG58" i="6"/>
  <c r="AG55" i="6"/>
  <c r="AG56" i="6"/>
  <c r="V33" i="6"/>
  <c r="V34" i="6" s="1"/>
  <c r="V35" i="6" l="1"/>
  <c r="W35" i="6"/>
  <c r="W33" i="6"/>
  <c r="W34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<sst xmlns="http://schemas.openxmlformats.org/spreadsheetml/2006/main" count="213" uniqueCount="123">
  <si>
    <t>Cu</t>
  </si>
  <si>
    <t>CuS</t>
  </si>
  <si>
    <t>CuO</t>
  </si>
  <si>
    <t>l</t>
  </si>
  <si>
    <t>D</t>
  </si>
  <si>
    <t>s</t>
  </si>
  <si>
    <t>C</t>
  </si>
  <si>
    <t>B</t>
  </si>
  <si>
    <t>A</t>
  </si>
  <si>
    <t>Y =</t>
  </si>
  <si>
    <t>X =</t>
  </si>
  <si>
    <t>Max</t>
  </si>
  <si>
    <t>Min</t>
  </si>
  <si>
    <t>°C</t>
  </si>
  <si>
    <t>cste</t>
  </si>
  <si>
    <t>g</t>
  </si>
  <si>
    <t>#</t>
  </si>
  <si>
    <t>Species</t>
  </si>
  <si>
    <t>Intersection</t>
  </si>
  <si>
    <t>T (°C)</t>
  </si>
  <si>
    <t>cal/mol°K</t>
  </si>
  <si>
    <t>Intercept</t>
  </si>
  <si>
    <t xml:space="preserve">Label </t>
  </si>
  <si>
    <t>Axis</t>
  </si>
  <si>
    <t>Reactions</t>
  </si>
  <si>
    <t xml:space="preserve">Temperature </t>
  </si>
  <si>
    <r>
      <t>∆H</t>
    </r>
    <r>
      <rPr>
        <b/>
        <vertAlign val="subscript"/>
        <sz val="10"/>
        <rFont val="Times New Roman"/>
        <family val="1"/>
      </rPr>
      <t>F</t>
    </r>
    <r>
      <rPr>
        <b/>
        <vertAlign val="superscript"/>
        <sz val="10"/>
        <rFont val="Times New Roman"/>
        <family val="1"/>
      </rPr>
      <t>O</t>
    </r>
    <r>
      <rPr>
        <b/>
        <sz val="10"/>
        <rFont val="Times New Roman"/>
        <family val="1"/>
      </rPr>
      <t xml:space="preserve"> (cal)</t>
    </r>
  </si>
  <si>
    <r>
      <t>∆H</t>
    </r>
    <r>
      <rPr>
        <b/>
        <vertAlign val="subscript"/>
        <sz val="10"/>
        <rFont val="Times New Roman"/>
        <family val="1"/>
      </rPr>
      <t>F</t>
    </r>
    <r>
      <rPr>
        <b/>
        <vertAlign val="superscript"/>
        <sz val="10"/>
        <rFont val="Times New Roman"/>
        <family val="1"/>
      </rPr>
      <t xml:space="preserve">O, </t>
    </r>
    <r>
      <rPr>
        <b/>
        <sz val="10"/>
        <rFont val="Times New Roman"/>
        <family val="1"/>
      </rPr>
      <t>Kcal</t>
    </r>
  </si>
  <si>
    <r>
      <t>∆S</t>
    </r>
    <r>
      <rPr>
        <b/>
        <vertAlign val="subscript"/>
        <sz val="10"/>
        <rFont val="Times New Roman"/>
        <family val="1"/>
      </rPr>
      <t>F</t>
    </r>
    <r>
      <rPr>
        <b/>
        <vertAlign val="superscript"/>
        <sz val="10"/>
        <rFont val="Times New Roman"/>
        <family val="1"/>
      </rPr>
      <t xml:space="preserve">O, </t>
    </r>
    <r>
      <rPr>
        <b/>
        <sz val="10"/>
        <rFont val="Times New Roman"/>
        <family val="1"/>
      </rPr>
      <t>cal</t>
    </r>
  </si>
  <si>
    <t>Temperature</t>
  </si>
  <si>
    <t>Room temperature</t>
  </si>
  <si>
    <r>
      <t>Cu</t>
    </r>
    <r>
      <rPr>
        <b/>
        <sz val="10"/>
        <rFont val="Calibri"/>
        <family val="2"/>
      </rPr>
      <t>₂</t>
    </r>
    <r>
      <rPr>
        <b/>
        <sz val="10"/>
        <rFont val="Times New Roman"/>
        <family val="1"/>
      </rPr>
      <t>S</t>
    </r>
  </si>
  <si>
    <r>
      <t>Cu</t>
    </r>
    <r>
      <rPr>
        <b/>
        <sz val="10"/>
        <rFont val="Calibri"/>
        <family val="2"/>
      </rPr>
      <t>₂</t>
    </r>
    <r>
      <rPr>
        <b/>
        <sz val="10"/>
        <rFont val="Times New Roman"/>
        <family val="1"/>
      </rPr>
      <t>O</t>
    </r>
  </si>
  <si>
    <r>
      <t>Cu</t>
    </r>
    <r>
      <rPr>
        <b/>
        <sz val="10"/>
        <rFont val="Calibri"/>
        <family val="2"/>
      </rPr>
      <t>₂</t>
    </r>
    <r>
      <rPr>
        <b/>
        <sz val="10"/>
        <rFont val="Times New Roman"/>
        <family val="1"/>
      </rPr>
      <t>SO</t>
    </r>
    <r>
      <rPr>
        <b/>
        <sz val="10"/>
        <rFont val="Calibri"/>
        <family val="2"/>
      </rPr>
      <t>₄</t>
    </r>
  </si>
  <si>
    <r>
      <t>CuSO</t>
    </r>
    <r>
      <rPr>
        <b/>
        <sz val="10"/>
        <rFont val="Calibri"/>
        <family val="2"/>
      </rPr>
      <t>₄</t>
    </r>
  </si>
  <si>
    <r>
      <t>O</t>
    </r>
    <r>
      <rPr>
        <b/>
        <sz val="10"/>
        <rFont val="Calibri"/>
        <family val="2"/>
      </rPr>
      <t>₂</t>
    </r>
    <r>
      <rPr>
        <b/>
        <sz val="10"/>
        <rFont val="Times New Roman"/>
        <family val="1"/>
      </rPr>
      <t>(g)</t>
    </r>
  </si>
  <si>
    <r>
      <t>SO</t>
    </r>
    <r>
      <rPr>
        <b/>
        <sz val="10"/>
        <rFont val="Calibri"/>
        <family val="2"/>
      </rPr>
      <t>₂</t>
    </r>
    <r>
      <rPr>
        <b/>
        <sz val="10"/>
        <rFont val="Times New Roman"/>
        <family val="1"/>
      </rPr>
      <t>(g)</t>
    </r>
  </si>
  <si>
    <r>
      <t xml:space="preserve">R </t>
    </r>
    <r>
      <rPr>
        <vertAlign val="subscript"/>
        <sz val="11"/>
        <color theme="1"/>
        <rFont val="Times New Roman"/>
        <family val="1"/>
      </rPr>
      <t>(gas constant)</t>
    </r>
  </si>
  <si>
    <r>
      <t>∆G</t>
    </r>
    <r>
      <rPr>
        <b/>
        <vertAlign val="superscript"/>
        <sz val="11"/>
        <color theme="1"/>
        <rFont val="Times New Roman"/>
        <family val="1"/>
      </rPr>
      <t>0</t>
    </r>
    <r>
      <rPr>
        <b/>
        <sz val="11"/>
        <color theme="1"/>
        <rFont val="Times New Roman"/>
        <family val="1"/>
      </rPr>
      <t xml:space="preserve"> (Kcal/mol)</t>
    </r>
  </si>
  <si>
    <t>Cu₂S</t>
  </si>
  <si>
    <t>Cu₂O</t>
  </si>
  <si>
    <t>Cu₂SO₄</t>
  </si>
  <si>
    <t>CuSO₄</t>
  </si>
  <si>
    <t>CuO*CuSO₄</t>
  </si>
  <si>
    <t>O₂(g)</t>
  </si>
  <si>
    <t>SO₂(g)</t>
  </si>
  <si>
    <r>
      <t>T</t>
    </r>
    <r>
      <rPr>
        <b/>
        <vertAlign val="subscript"/>
        <sz val="10"/>
        <rFont val="Calibri"/>
        <family val="2"/>
      </rPr>
      <t>₁</t>
    </r>
    <r>
      <rPr>
        <b/>
        <sz val="10"/>
        <rFont val="Times New Roman"/>
        <family val="1"/>
      </rPr>
      <t>, °K</t>
    </r>
  </si>
  <si>
    <r>
      <t>T</t>
    </r>
    <r>
      <rPr>
        <b/>
        <sz val="10"/>
        <rFont val="Calibri"/>
        <family val="2"/>
      </rPr>
      <t>₂</t>
    </r>
    <r>
      <rPr>
        <b/>
        <sz val="10"/>
        <rFont val="Times New Roman"/>
        <family val="1"/>
      </rPr>
      <t>, °K</t>
    </r>
  </si>
  <si>
    <r>
      <t>2 CuS +  O</t>
    </r>
    <r>
      <rPr>
        <vertAlign val="subscript"/>
        <sz val="11"/>
        <rFont val="Calibri"/>
        <family val="2"/>
      </rPr>
      <t>₂</t>
    </r>
    <r>
      <rPr>
        <sz val="11"/>
        <rFont val="Times New Roman"/>
        <family val="1"/>
      </rPr>
      <t>(g) = SO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+ Cu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S</t>
    </r>
  </si>
  <si>
    <r>
      <t>2 Cu +  SO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= 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+ Cu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S</t>
    </r>
  </si>
  <si>
    <r>
      <t>2 Cu + 0.5 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= Cu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O</t>
    </r>
  </si>
  <si>
    <r>
      <t>CuS + 2 O₂(g) = CuSO</t>
    </r>
    <r>
      <rPr>
        <vertAlign val="subscript"/>
        <sz val="11"/>
        <rFont val="Calibri"/>
        <family val="2"/>
      </rPr>
      <t>₄</t>
    </r>
  </si>
  <si>
    <r>
      <t>Cu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O + SO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=  1.5 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+ Cu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S</t>
    </r>
  </si>
  <si>
    <r>
      <t>0.5 Cu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S + 1.5 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+ 0.5 SO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= CuSO</t>
    </r>
    <r>
      <rPr>
        <vertAlign val="subscript"/>
        <sz val="11"/>
        <rFont val="Times New Roman"/>
        <family val="1"/>
      </rPr>
      <t>₄</t>
    </r>
  </si>
  <si>
    <r>
      <t>Cu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S + 2 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= Cu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SO</t>
    </r>
    <r>
      <rPr>
        <vertAlign val="subscript"/>
        <sz val="11"/>
        <rFont val="Times New Roman"/>
        <family val="1"/>
      </rPr>
      <t>₄</t>
    </r>
  </si>
  <si>
    <r>
      <t>2 CuSO</t>
    </r>
    <r>
      <rPr>
        <vertAlign val="subscript"/>
        <sz val="11"/>
        <rFont val="Times New Roman"/>
        <family val="1"/>
      </rPr>
      <t>₄</t>
    </r>
    <r>
      <rPr>
        <sz val="11"/>
        <rFont val="Times New Roman"/>
        <family val="1"/>
      </rPr>
      <t xml:space="preserve"> =  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+  SO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+ Cu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SO</t>
    </r>
    <r>
      <rPr>
        <vertAlign val="subscript"/>
        <sz val="11"/>
        <rFont val="Times New Roman"/>
        <family val="1"/>
      </rPr>
      <t>₄</t>
    </r>
  </si>
  <si>
    <r>
      <t>Cu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O + 0.5 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+  SO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= Cu</t>
    </r>
    <r>
      <rPr>
        <vertAlign val="subscript"/>
        <sz val="11"/>
        <rFont val="Times New Roman"/>
        <family val="1"/>
      </rPr>
      <t>2</t>
    </r>
    <r>
      <rPr>
        <sz val="11"/>
        <rFont val="Times New Roman"/>
        <family val="1"/>
      </rPr>
      <t>SO</t>
    </r>
    <r>
      <rPr>
        <vertAlign val="subscript"/>
        <sz val="11"/>
        <rFont val="Times New Roman"/>
        <family val="1"/>
      </rPr>
      <t>₄</t>
    </r>
  </si>
  <si>
    <r>
      <t>0.5 Cu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O + 0.75 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+  SO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= CuSO</t>
    </r>
    <r>
      <rPr>
        <vertAlign val="subscript"/>
        <sz val="11"/>
        <rFont val="Times New Roman"/>
        <family val="1"/>
      </rPr>
      <t>₄</t>
    </r>
  </si>
  <si>
    <r>
      <t>2 CuO = 0.5 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+ Cu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O</t>
    </r>
  </si>
  <si>
    <t>Cste T°</t>
  </si>
  <si>
    <t>H, kcal</t>
  </si>
  <si>
    <t>S, cal</t>
  </si>
  <si>
    <t>A, cal</t>
  </si>
  <si>
    <t>B, cal</t>
  </si>
  <si>
    <t>C, cal</t>
  </si>
  <si>
    <t>D, cal</t>
  </si>
  <si>
    <t>Cp, cal</t>
  </si>
  <si>
    <t>Stoichiometric coefficients</t>
  </si>
  <si>
    <t>T (K)</t>
  </si>
  <si>
    <r>
      <t>∆G</t>
    </r>
    <r>
      <rPr>
        <b/>
        <vertAlign val="subscript"/>
        <sz val="11"/>
        <color theme="1"/>
        <rFont val="Times New Roman"/>
        <family val="1"/>
      </rPr>
      <t>rxn</t>
    </r>
    <r>
      <rPr>
        <b/>
        <sz val="11"/>
        <color theme="1"/>
        <rFont val="Times New Roman"/>
        <family val="1"/>
      </rPr>
      <t xml:space="preserve"> (Kcal/mol)</t>
    </r>
  </si>
  <si>
    <t>Cp</t>
  </si>
  <si>
    <r>
      <t>∆H</t>
    </r>
    <r>
      <rPr>
        <b/>
        <vertAlign val="superscript"/>
        <sz val="11"/>
        <color theme="1"/>
        <rFont val="Times New Roman"/>
        <family val="1"/>
      </rPr>
      <t xml:space="preserve">O, </t>
    </r>
    <r>
      <rPr>
        <b/>
        <sz val="11"/>
        <color theme="1"/>
        <rFont val="Times New Roman"/>
        <family val="1"/>
      </rPr>
      <t>Kcal</t>
    </r>
  </si>
  <si>
    <r>
      <t>∆S</t>
    </r>
    <r>
      <rPr>
        <b/>
        <vertAlign val="superscript"/>
        <sz val="11"/>
        <color theme="1"/>
        <rFont val="Times New Roman"/>
        <family val="1"/>
      </rPr>
      <t xml:space="preserve">O, </t>
    </r>
    <r>
      <rPr>
        <b/>
        <sz val="11"/>
        <color theme="1"/>
        <rFont val="Times New Roman"/>
        <family val="1"/>
      </rPr>
      <t>Kcal</t>
    </r>
  </si>
  <si>
    <r>
      <t>∆G</t>
    </r>
    <r>
      <rPr>
        <b/>
        <vertAlign val="superscript"/>
        <sz val="11"/>
        <color theme="1"/>
        <rFont val="Times New Roman"/>
        <family val="1"/>
      </rPr>
      <t>0</t>
    </r>
    <r>
      <rPr>
        <b/>
        <sz val="11"/>
        <color theme="1"/>
        <rFont val="Times New Roman"/>
        <family val="1"/>
      </rPr>
      <t>, Kcal</t>
    </r>
  </si>
  <si>
    <t>K</t>
  </si>
  <si>
    <r>
      <t>∆H</t>
    </r>
    <r>
      <rPr>
        <b/>
        <vertAlign val="superscript"/>
        <sz val="10"/>
        <rFont val="Times New Roman"/>
        <family val="1"/>
      </rPr>
      <t xml:space="preserve">O, </t>
    </r>
    <r>
      <rPr>
        <b/>
        <sz val="10"/>
        <rFont val="Times New Roman"/>
        <family val="1"/>
      </rPr>
      <t>Kcal</t>
    </r>
  </si>
  <si>
    <r>
      <t>∆S</t>
    </r>
    <r>
      <rPr>
        <b/>
        <vertAlign val="superscript"/>
        <sz val="10"/>
        <rFont val="Times New Roman"/>
        <family val="1"/>
      </rPr>
      <t xml:space="preserve">O, </t>
    </r>
    <r>
      <rPr>
        <b/>
        <sz val="10"/>
        <rFont val="Times New Roman"/>
        <family val="1"/>
      </rPr>
      <t>Kcal</t>
    </r>
  </si>
  <si>
    <r>
      <t>∆G</t>
    </r>
    <r>
      <rPr>
        <vertAlign val="superscript"/>
        <sz val="10"/>
        <color theme="1"/>
        <rFont val="Times New Roman"/>
        <family val="1"/>
      </rPr>
      <t>O</t>
    </r>
    <r>
      <rPr>
        <b/>
        <sz val="10"/>
        <rFont val="Times New Roman"/>
        <family val="1"/>
      </rPr>
      <t>, Kcal</t>
    </r>
  </si>
  <si>
    <r>
      <t>Table S2.</t>
    </r>
    <r>
      <rPr>
        <sz val="11"/>
        <color theme="1"/>
        <rFont val="Times New Roman"/>
        <family val="1"/>
      </rPr>
      <t xml:space="preserve"> Thermodynamic constants</t>
    </r>
  </si>
  <si>
    <r>
      <rPr>
        <b/>
        <sz val="11"/>
        <color theme="1"/>
        <rFont val="Times New Roman"/>
        <family val="1"/>
      </rPr>
      <t>Table S3.</t>
    </r>
    <r>
      <rPr>
        <sz val="11"/>
        <color theme="1"/>
        <rFont val="Times New Roman"/>
        <family val="1"/>
      </rPr>
      <t xml:space="preserve"> Intersection</t>
    </r>
  </si>
  <si>
    <r>
      <rPr>
        <b/>
        <sz val="11"/>
        <color theme="1"/>
        <rFont val="Times New Roman"/>
        <family val="1"/>
      </rPr>
      <t>Table S4.</t>
    </r>
    <r>
      <rPr>
        <sz val="11"/>
        <color theme="1"/>
        <rFont val="Times New Roman"/>
        <family val="1"/>
      </rPr>
      <t xml:space="preserve"> Intercept</t>
    </r>
  </si>
  <si>
    <r>
      <rPr>
        <b/>
        <sz val="11"/>
        <color theme="1"/>
        <rFont val="Times New Roman"/>
        <family val="1"/>
      </rPr>
      <t>Table S5.</t>
    </r>
    <r>
      <rPr>
        <sz val="11"/>
        <color theme="1"/>
        <rFont val="Times New Roman"/>
        <family val="1"/>
      </rPr>
      <t xml:space="preserve"> Label </t>
    </r>
  </si>
  <si>
    <r>
      <rPr>
        <b/>
        <sz val="11"/>
        <color theme="1"/>
        <rFont val="Times New Roman"/>
        <family val="1"/>
      </rPr>
      <t>Table S6.</t>
    </r>
    <r>
      <rPr>
        <sz val="11"/>
        <color theme="1"/>
        <rFont val="Times New Roman"/>
        <family val="1"/>
      </rPr>
      <t xml:space="preserve"> Axis</t>
    </r>
  </si>
  <si>
    <r>
      <rPr>
        <b/>
        <sz val="11"/>
        <color theme="1"/>
        <rFont val="Times New Roman"/>
        <family val="1"/>
      </rPr>
      <t>Table S7.</t>
    </r>
    <r>
      <rPr>
        <sz val="11"/>
        <color theme="1"/>
        <rFont val="Times New Roman"/>
        <family val="1"/>
      </rPr>
      <t xml:space="preserve"> Select values of each equation (intercept)</t>
    </r>
  </si>
  <si>
    <r>
      <rPr>
        <b/>
        <sz val="10"/>
        <rFont val="Times New Roman"/>
        <family val="1"/>
      </rPr>
      <t>Table SA.</t>
    </r>
    <r>
      <rPr>
        <sz val="10"/>
        <rFont val="Times New Roman"/>
        <family val="1"/>
      </rPr>
      <t xml:space="preserve"> Constants </t>
    </r>
  </si>
  <si>
    <r>
      <rPr>
        <b/>
        <sz val="10"/>
        <color theme="1"/>
        <rFont val="Times New Roman"/>
        <family val="1"/>
      </rPr>
      <t xml:space="preserve">Table SB. </t>
    </r>
    <r>
      <rPr>
        <sz val="10"/>
        <color theme="1"/>
        <rFont val="Times New Roman"/>
        <family val="1"/>
      </rPr>
      <t>Thermodynamic constants, HSC®</t>
    </r>
  </si>
  <si>
    <r>
      <rPr>
        <b/>
        <sz val="10"/>
        <color theme="1"/>
        <rFont val="Times New Roman"/>
        <family val="1"/>
      </rPr>
      <t xml:space="preserve">Table SC. </t>
    </r>
    <r>
      <rPr>
        <sz val="10"/>
        <color theme="1"/>
        <rFont val="Times New Roman"/>
        <family val="1"/>
      </rPr>
      <t>Thermodynamic calculation at T</t>
    </r>
    <r>
      <rPr>
        <sz val="10"/>
        <color theme="1"/>
        <rFont val="Calibri"/>
        <family val="2"/>
      </rPr>
      <t>₂</t>
    </r>
  </si>
  <si>
    <r>
      <rPr>
        <b/>
        <sz val="10"/>
        <color theme="1"/>
        <rFont val="Times New Roman"/>
        <family val="1"/>
      </rPr>
      <t>Table SD.</t>
    </r>
    <r>
      <rPr>
        <sz val="10"/>
        <color theme="1"/>
        <rFont val="Times New Roman"/>
        <family val="1"/>
      </rPr>
      <t xml:space="preserve"> Selection of constants and </t>
    </r>
    <r>
      <rPr>
        <sz val="10"/>
        <color theme="1"/>
        <rFont val="Calibri"/>
        <family val="2"/>
      </rPr>
      <t>Δ</t>
    </r>
    <r>
      <rPr>
        <sz val="10"/>
        <color theme="1"/>
        <rFont val="Times New Roman"/>
        <family val="1"/>
      </rPr>
      <t xml:space="preserve">H° and ΔS° calculation at working temperature </t>
    </r>
  </si>
  <si>
    <r>
      <rPr>
        <b/>
        <sz val="11"/>
        <color theme="1"/>
        <rFont val="Times New Roman"/>
        <family val="1"/>
      </rPr>
      <t>Table SE.</t>
    </r>
    <r>
      <rPr>
        <sz val="11"/>
        <color theme="1"/>
        <rFont val="Times New Roman"/>
        <family val="1"/>
      </rPr>
      <t xml:space="preserve"> Determination of </t>
    </r>
    <r>
      <rPr>
        <sz val="11"/>
        <color theme="1"/>
        <rFont val="Calibri"/>
        <family val="2"/>
      </rPr>
      <t>Δ</t>
    </r>
    <r>
      <rPr>
        <sz val="11"/>
        <color theme="1"/>
        <rFont val="Times New Roman"/>
        <family val="1"/>
      </rPr>
      <t>G° at working temperature</t>
    </r>
  </si>
  <si>
    <r>
      <t>logPO</t>
    </r>
    <r>
      <rPr>
        <b/>
        <vertAlign val="subscript"/>
        <sz val="11"/>
        <color theme="1"/>
        <rFont val="Times New Roman"/>
        <family val="1"/>
      </rPr>
      <t>₂</t>
    </r>
  </si>
  <si>
    <t>logPSO₂</t>
  </si>
  <si>
    <t>logPSO₂=logPO₂+logK</t>
  </si>
  <si>
    <t>logPSO₂=logPO₂-logK</t>
  </si>
  <si>
    <t>logPO₂=-logK/0.5</t>
  </si>
  <si>
    <t>logPO₂=-logK/2</t>
  </si>
  <si>
    <t>logPSO₂=1.5logPO₂-logK</t>
  </si>
  <si>
    <t>logK</t>
  </si>
  <si>
    <r>
      <rPr>
        <b/>
        <sz val="11"/>
        <color theme="1"/>
        <rFont val="Times New Roman"/>
        <family val="1"/>
      </rPr>
      <t xml:space="preserve">Table S1. </t>
    </r>
    <r>
      <rPr>
        <sz val="11"/>
        <color theme="1"/>
        <rFont val="Times New Roman"/>
        <family val="1"/>
      </rPr>
      <t>Determination logK</t>
    </r>
  </si>
  <si>
    <r>
      <t>logK=logPO</t>
    </r>
    <r>
      <rPr>
        <vertAlign val="subscript"/>
        <sz val="11"/>
        <color theme="1"/>
        <rFont val="Calibri"/>
        <family val="2"/>
      </rPr>
      <t>₂</t>
    </r>
    <r>
      <rPr>
        <sz val="11"/>
        <color theme="1"/>
        <rFont val="Times New Roman"/>
        <family val="1"/>
      </rPr>
      <t>-logPSO</t>
    </r>
    <r>
      <rPr>
        <vertAlign val="subscript"/>
        <sz val="11"/>
        <color theme="1"/>
        <rFont val="Calibri"/>
        <family val="2"/>
      </rPr>
      <t>₂</t>
    </r>
  </si>
  <si>
    <r>
      <t>logK= 1.5logPO</t>
    </r>
    <r>
      <rPr>
        <vertAlign val="subscript"/>
        <sz val="11"/>
        <color theme="1"/>
        <rFont val="Calibri"/>
        <family val="2"/>
      </rPr>
      <t>₂</t>
    </r>
    <r>
      <rPr>
        <sz val="11"/>
        <color theme="1"/>
        <rFont val="Times New Roman"/>
        <family val="1"/>
      </rPr>
      <t>-logPSO</t>
    </r>
    <r>
      <rPr>
        <vertAlign val="subscript"/>
        <sz val="11"/>
        <color theme="1"/>
        <rFont val="Calibri"/>
        <family val="2"/>
      </rPr>
      <t>₂</t>
    </r>
  </si>
  <si>
    <r>
      <t>logK=-0.5logPO</t>
    </r>
    <r>
      <rPr>
        <sz val="11"/>
        <color theme="1"/>
        <rFont val="Calibri"/>
        <family val="2"/>
      </rPr>
      <t>₂</t>
    </r>
    <r>
      <rPr>
        <sz val="11"/>
        <color theme="1"/>
        <rFont val="Times New Roman"/>
        <family val="1"/>
      </rPr>
      <t>-logPSO</t>
    </r>
    <r>
      <rPr>
        <sz val="11"/>
        <color theme="1"/>
        <rFont val="Calibri"/>
        <family val="2"/>
      </rPr>
      <t>₂</t>
    </r>
  </si>
  <si>
    <r>
      <t>logK=-1.5logPO</t>
    </r>
    <r>
      <rPr>
        <sz val="11"/>
        <color theme="1"/>
        <rFont val="Calibri"/>
        <family val="2"/>
      </rPr>
      <t>₂</t>
    </r>
    <r>
      <rPr>
        <sz val="11"/>
        <color theme="1"/>
        <rFont val="Times New Roman"/>
        <family val="1"/>
      </rPr>
      <t>-0.5logPSO</t>
    </r>
    <r>
      <rPr>
        <sz val="11"/>
        <color theme="1"/>
        <rFont val="Calibri"/>
        <family val="2"/>
      </rPr>
      <t>₂</t>
    </r>
  </si>
  <si>
    <r>
      <t>logK=logPO</t>
    </r>
    <r>
      <rPr>
        <sz val="11"/>
        <color theme="1"/>
        <rFont val="Calibri"/>
        <family val="2"/>
      </rPr>
      <t>₂</t>
    </r>
    <r>
      <rPr>
        <sz val="11"/>
        <color theme="1"/>
        <rFont val="Times New Roman"/>
        <family val="1"/>
      </rPr>
      <t>+logPSO</t>
    </r>
    <r>
      <rPr>
        <sz val="11"/>
        <color theme="1"/>
        <rFont val="Calibri"/>
        <family val="2"/>
      </rPr>
      <t>₂</t>
    </r>
  </si>
  <si>
    <r>
      <t>logK=logPSO</t>
    </r>
    <r>
      <rPr>
        <sz val="11"/>
        <color theme="1"/>
        <rFont val="Calibri"/>
        <family val="2"/>
      </rPr>
      <t>₂</t>
    </r>
    <r>
      <rPr>
        <sz val="11"/>
        <color theme="1"/>
        <rFont val="Times New Roman"/>
        <family val="1"/>
      </rPr>
      <t>-logPO</t>
    </r>
    <r>
      <rPr>
        <sz val="11"/>
        <color theme="1"/>
        <rFont val="Calibri"/>
        <family val="2"/>
      </rPr>
      <t>₂</t>
    </r>
  </si>
  <si>
    <r>
      <t>logK=-0.75logPO</t>
    </r>
    <r>
      <rPr>
        <sz val="11"/>
        <color theme="1"/>
        <rFont val="Calibri"/>
        <family val="2"/>
      </rPr>
      <t>₂</t>
    </r>
    <r>
      <rPr>
        <sz val="11"/>
        <color theme="1"/>
        <rFont val="Times New Roman"/>
        <family val="1"/>
      </rPr>
      <t>-logPSO</t>
    </r>
    <r>
      <rPr>
        <sz val="11"/>
        <color theme="1"/>
        <rFont val="Calibri"/>
        <family val="2"/>
      </rPr>
      <t>₂</t>
    </r>
  </si>
  <si>
    <r>
      <t>logK=-logPO</t>
    </r>
    <r>
      <rPr>
        <sz val="11"/>
        <color theme="1"/>
        <rFont val="Calibri"/>
        <family val="2"/>
      </rPr>
      <t>₂</t>
    </r>
    <r>
      <rPr>
        <sz val="11"/>
        <color theme="1"/>
        <rFont val="Times New Roman"/>
        <family val="1"/>
      </rPr>
      <t>-logPSO</t>
    </r>
    <r>
      <rPr>
        <sz val="11"/>
        <color theme="1"/>
        <rFont val="Calibri"/>
        <family val="2"/>
      </rPr>
      <t>₂</t>
    </r>
  </si>
  <si>
    <t>logK=-0.25logPO₂-0.5logPSO₂</t>
  </si>
  <si>
    <t>logK=-logPO₂-logPSO₂</t>
  </si>
  <si>
    <t>logK=-0.5logPO₂-logPSO₂</t>
  </si>
  <si>
    <r>
      <t>logPO</t>
    </r>
    <r>
      <rPr>
        <vertAlign val="subscript"/>
        <sz val="11"/>
        <color theme="1"/>
        <rFont val="Times New Roman"/>
        <family val="1"/>
      </rPr>
      <t>₂</t>
    </r>
  </si>
  <si>
    <r>
      <t>logPSO</t>
    </r>
    <r>
      <rPr>
        <vertAlign val="subscript"/>
        <sz val="11"/>
        <color theme="1"/>
        <rFont val="Times New Roman"/>
        <family val="1"/>
      </rPr>
      <t>₂</t>
    </r>
  </si>
  <si>
    <t>logPSO₂=(-1.5logPO₂-logK)/0.5</t>
  </si>
  <si>
    <t>logPSO₂=logK-logPO₂</t>
  </si>
  <si>
    <t>logPSO₂=-0.5logPO₂-logK</t>
  </si>
  <si>
    <t>logPSO₂=-0.75logPO₂-logK</t>
  </si>
  <si>
    <t>logPSO₂=-logPO₂-logK</t>
  </si>
  <si>
    <t>logPSO₂=(-0.25logPO₂-logK)/0.5</t>
  </si>
  <si>
    <r>
      <t>Cu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O + 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+ SO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= CuO·CuSO</t>
    </r>
    <r>
      <rPr>
        <vertAlign val="subscript"/>
        <sz val="11"/>
        <rFont val="Times New Roman"/>
        <family val="1"/>
      </rPr>
      <t>₄</t>
    </r>
  </si>
  <si>
    <r>
      <t>0.5 CuO·CuSO</t>
    </r>
    <r>
      <rPr>
        <vertAlign val="subscript"/>
        <sz val="11"/>
        <rFont val="Times New Roman"/>
        <family val="1"/>
      </rPr>
      <t xml:space="preserve">₄ </t>
    </r>
    <r>
      <rPr>
        <sz val="11"/>
        <rFont val="Times New Roman"/>
        <family val="1"/>
      </rPr>
      <t>+ 0.25 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+ 0.5 SO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= CuSO</t>
    </r>
    <r>
      <rPr>
        <vertAlign val="subscript"/>
        <sz val="11"/>
        <rFont val="Times New Roman"/>
        <family val="1"/>
      </rPr>
      <t>₄</t>
    </r>
  </si>
  <si>
    <r>
      <t>2 CuO + 0.5 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+  SO</t>
    </r>
    <r>
      <rPr>
        <vertAlign val="subscript"/>
        <sz val="11"/>
        <rFont val="Times New Roman"/>
        <family val="1"/>
      </rPr>
      <t>₂</t>
    </r>
    <r>
      <rPr>
        <sz val="11"/>
        <rFont val="Times New Roman"/>
        <family val="1"/>
      </rPr>
      <t>(g) = CuO·CuSO</t>
    </r>
    <r>
      <rPr>
        <vertAlign val="subscript"/>
        <sz val="11"/>
        <rFont val="Times New Roman"/>
        <family val="1"/>
      </rPr>
      <t>₄</t>
    </r>
  </si>
  <si>
    <t>CuO·CuSO₄</t>
  </si>
  <si>
    <r>
      <t>CuO·CuSO</t>
    </r>
    <r>
      <rPr>
        <b/>
        <sz val="10"/>
        <rFont val="Calibri"/>
        <family val="2"/>
      </rPr>
      <t>₄</t>
    </r>
  </si>
  <si>
    <t>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</si>
</sst>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vertAlign val="subscript"/>
      <sz val="10"/>
      <name val="Calibri"/>
      <family val="2"/>
    </font>
    <font>
      <b/>
      <sz val="10"/>
      <name val="Calibri"/>
      <family val="2"/>
    </font>
    <font>
      <vertAlign val="subscript"/>
      <sz val="11"/>
      <color theme="1"/>
      <name val="Calibri"/>
      <family val="2"/>
    </font>
    <font>
      <sz val="11"/>
      <color theme="1"/>
      <name val="Calibri"/>
      <family val="2"/>
    </font>
    <font>
      <sz val="10"/>
      <color theme="1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bscript"/>
      <sz val="10"/>
      <name val="Times New Roman"/>
      <family val="1"/>
    </font>
    <font>
      <b/>
      <vertAlign val="superscript"/>
      <sz val="10"/>
      <name val="Times New Roman"/>
      <family val="1"/>
    </font>
    <font>
      <vertAlign val="superscript"/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  <font>
      <b/>
      <sz val="11"/>
      <name val="Times New Roman"/>
      <family val="1"/>
    </font>
    <font>
      <vertAlign val="subscript"/>
      <sz val="11"/>
      <color theme="1"/>
      <name val="Times New Roman"/>
      <family val="1"/>
    </font>
    <font>
      <sz val="1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8"/>
      <name val="Times New Roman"/>
      <family val="1"/>
    </font>
    <font>
      <b/>
      <vertAlign val="superscript"/>
      <sz val="11"/>
      <color theme="1"/>
      <name val="Times New Roman"/>
      <family val="1"/>
    </font>
    <font>
      <sz val="11"/>
      <color theme="0"/>
      <name val="Times New Roman"/>
      <family val="1"/>
    </font>
    <font>
      <b/>
      <vertAlign val="subscript"/>
      <sz val="11"/>
      <color theme="1"/>
      <name val="Times New Roman"/>
      <family val="1"/>
    </font>
    <font>
      <b/>
      <sz val="11"/>
      <color theme="0"/>
      <name val="Times New Roman"/>
      <family val="1"/>
    </font>
    <font>
      <vertAlign val="subscript"/>
      <sz val="11"/>
      <name val="Calibri"/>
      <family val="2"/>
    </font>
    <font>
      <vertAlign val="subscript"/>
      <sz val="11"/>
      <name val="Times New Roman"/>
      <family val="1"/>
    </font>
    <font>
      <b/>
      <sz val="11"/>
      <color rgb="FFFF0000"/>
      <name val="Times New Roman"/>
      <family val="1"/>
    </font>
    <font>
      <sz val="10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3">
    <xf numFmtId="0" fontId="0" fillId="0" borderId="0" xfId="0"/>
    <xf numFmtId="0" fontId="6" fillId="0" borderId="0" xfId="0" applyFont="1"/>
    <xf numFmtId="164" fontId="6" fillId="0" borderId="0" xfId="0" applyNumberFormat="1" applyFont="1"/>
    <xf numFmtId="0" fontId="8" fillId="0" borderId="0" xfId="0" applyFont="1"/>
    <xf numFmtId="0" fontId="6" fillId="0" borderId="1" xfId="0" applyFont="1" applyBorder="1"/>
    <xf numFmtId="0" fontId="12" fillId="0" borderId="1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164" fontId="7" fillId="0" borderId="6" xfId="1" applyNumberFormat="1" applyFont="1" applyBorder="1" applyAlignment="1">
      <alignment horizontal="left"/>
    </xf>
    <xf numFmtId="164" fontId="8" fillId="0" borderId="6" xfId="1" applyNumberFormat="1" applyFont="1" applyBorder="1" applyAlignment="1">
      <alignment horizontal="center"/>
    </xf>
    <xf numFmtId="164" fontId="8" fillId="0" borderId="7" xfId="1" applyNumberFormat="1" applyFont="1" applyBorder="1" applyAlignment="1">
      <alignment horizontal="center"/>
    </xf>
    <xf numFmtId="164" fontId="8" fillId="0" borderId="8" xfId="1" applyNumberFormat="1" applyFont="1" applyBorder="1" applyAlignment="1">
      <alignment horizontal="center"/>
    </xf>
    <xf numFmtId="164" fontId="8" fillId="0" borderId="9" xfId="1" applyNumberFormat="1" applyFont="1" applyBorder="1" applyAlignment="1">
      <alignment horizontal="left"/>
    </xf>
    <xf numFmtId="0" fontId="6" fillId="0" borderId="9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164" fontId="7" fillId="0" borderId="0" xfId="1" applyNumberFormat="1" applyFont="1"/>
    <xf numFmtId="164" fontId="7" fillId="0" borderId="1" xfId="1" applyNumberFormat="1" applyFont="1" applyBorder="1" applyAlignment="1">
      <alignment horizontal="center" vertical="center" wrapText="1"/>
    </xf>
    <xf numFmtId="164" fontId="7" fillId="0" borderId="2" xfId="1" applyNumberFormat="1" applyFont="1" applyBorder="1" applyAlignment="1">
      <alignment horizontal="center" vertical="center" wrapText="1"/>
    </xf>
    <xf numFmtId="164" fontId="7" fillId="0" borderId="5" xfId="1" applyNumberFormat="1" applyFont="1" applyBorder="1" applyAlignment="1">
      <alignment horizontal="center" vertical="center" wrapText="1"/>
    </xf>
    <xf numFmtId="164" fontId="7" fillId="0" borderId="0" xfId="1" applyNumberFormat="1" applyFont="1" applyAlignment="1">
      <alignment horizontal="right"/>
    </xf>
    <xf numFmtId="164" fontId="8" fillId="0" borderId="0" xfId="1" applyNumberFormat="1" applyFont="1"/>
    <xf numFmtId="164" fontId="6" fillId="0" borderId="6" xfId="0" applyNumberFormat="1" applyFont="1" applyBorder="1" applyAlignment="1">
      <alignment horizontal="center"/>
    </xf>
    <xf numFmtId="164" fontId="6" fillId="0" borderId="7" xfId="0" applyNumberFormat="1" applyFont="1" applyBorder="1" applyAlignment="1">
      <alignment horizontal="center"/>
    </xf>
    <xf numFmtId="164" fontId="6" fillId="0" borderId="8" xfId="0" applyNumberFormat="1" applyFont="1" applyBorder="1" applyAlignment="1">
      <alignment horizontal="center"/>
    </xf>
    <xf numFmtId="164" fontId="6" fillId="0" borderId="1" xfId="0" applyNumberFormat="1" applyFont="1" applyBorder="1" applyAlignment="1">
      <alignment horizontal="left"/>
    </xf>
    <xf numFmtId="164" fontId="6" fillId="0" borderId="2" xfId="0" applyNumberFormat="1" applyFont="1" applyBorder="1" applyAlignment="1">
      <alignment horizontal="left"/>
    </xf>
    <xf numFmtId="11" fontId="6" fillId="0" borderId="2" xfId="0" applyNumberFormat="1" applyFont="1" applyBorder="1" applyAlignment="1">
      <alignment horizontal="left"/>
    </xf>
    <xf numFmtId="164" fontId="6" fillId="0" borderId="5" xfId="0" applyNumberFormat="1" applyFont="1" applyBorder="1" applyAlignment="1">
      <alignment horizontal="left"/>
    </xf>
    <xf numFmtId="164" fontId="6" fillId="0" borderId="9" xfId="0" applyNumberFormat="1" applyFont="1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12" fillId="0" borderId="10" xfId="0" applyNumberFormat="1" applyFont="1" applyBorder="1" applyAlignment="1">
      <alignment horizontal="center"/>
    </xf>
    <xf numFmtId="164" fontId="8" fillId="0" borderId="11" xfId="1" applyNumberFormat="1" applyFont="1" applyBorder="1" applyAlignment="1">
      <alignment horizontal="center"/>
    </xf>
    <xf numFmtId="164" fontId="8" fillId="0" borderId="0" xfId="1" applyNumberFormat="1" applyFont="1" applyAlignment="1">
      <alignment horizontal="center"/>
    </xf>
    <xf numFmtId="164" fontId="8" fillId="0" borderId="12" xfId="1" applyNumberFormat="1" applyFont="1" applyBorder="1" applyAlignment="1">
      <alignment horizontal="center"/>
    </xf>
    <xf numFmtId="164" fontId="6" fillId="0" borderId="11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6" fillId="0" borderId="12" xfId="0" applyNumberFormat="1" applyFont="1" applyBorder="1" applyAlignment="1">
      <alignment horizontal="center"/>
    </xf>
    <xf numFmtId="164" fontId="7" fillId="0" borderId="0" xfId="1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1" fontId="6" fillId="0" borderId="0" xfId="0" applyNumberFormat="1" applyFont="1" applyAlignment="1">
      <alignment horizontal="left"/>
    </xf>
    <xf numFmtId="164" fontId="8" fillId="0" borderId="9" xfId="1" applyNumberFormat="1" applyFont="1" applyBorder="1" applyAlignment="1">
      <alignment horizontal="center"/>
    </xf>
    <xf numFmtId="164" fontId="8" fillId="0" borderId="3" xfId="1" applyNumberFormat="1" applyFont="1" applyBorder="1" applyAlignment="1">
      <alignment horizontal="center"/>
    </xf>
    <xf numFmtId="164" fontId="8" fillId="0" borderId="10" xfId="1" applyNumberFormat="1" applyFont="1" applyBorder="1" applyAlignment="1">
      <alignment horizontal="center"/>
    </xf>
    <xf numFmtId="164" fontId="6" fillId="0" borderId="10" xfId="0" applyNumberFormat="1" applyFont="1" applyBorder="1" applyAlignment="1">
      <alignment horizontal="center"/>
    </xf>
    <xf numFmtId="164" fontId="8" fillId="0" borderId="0" xfId="1" applyNumberFormat="1" applyFont="1" applyAlignment="1">
      <alignment horizontal="center" vertical="center" wrapText="1"/>
    </xf>
    <xf numFmtId="164" fontId="7" fillId="0" borderId="0" xfId="1" applyNumberFormat="1" applyFont="1" applyAlignment="1">
      <alignment horizontal="left" vertical="center" wrapText="1"/>
    </xf>
    <xf numFmtId="11" fontId="7" fillId="0" borderId="0" xfId="1" applyNumberFormat="1" applyFont="1" applyAlignment="1">
      <alignment horizontal="left"/>
    </xf>
    <xf numFmtId="164" fontId="7" fillId="0" borderId="0" xfId="1" applyNumberFormat="1" applyFont="1" applyAlignment="1">
      <alignment horizontal="center" vertical="center" wrapText="1"/>
    </xf>
    <xf numFmtId="164" fontId="8" fillId="0" borderId="6" xfId="2" applyNumberFormat="1" applyFont="1" applyBorder="1" applyAlignment="1">
      <alignment horizontal="center"/>
    </xf>
    <xf numFmtId="164" fontId="8" fillId="0" borderId="7" xfId="2" applyNumberFormat="1" applyFont="1" applyBorder="1" applyAlignment="1">
      <alignment horizontal="center"/>
    </xf>
    <xf numFmtId="164" fontId="8" fillId="0" borderId="8" xfId="2" applyNumberFormat="1" applyFont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164" fontId="6" fillId="0" borderId="2" xfId="0" applyNumberFormat="1" applyFont="1" applyBorder="1" applyAlignment="1">
      <alignment horizontal="center"/>
    </xf>
    <xf numFmtId="164" fontId="12" fillId="0" borderId="5" xfId="0" applyNumberFormat="1" applyFont="1" applyBorder="1" applyAlignment="1">
      <alignment horizontal="center"/>
    </xf>
    <xf numFmtId="164" fontId="8" fillId="0" borderId="11" xfId="2" applyNumberFormat="1" applyFont="1" applyBorder="1" applyAlignment="1">
      <alignment horizontal="center"/>
    </xf>
    <xf numFmtId="164" fontId="8" fillId="0" borderId="0" xfId="2" applyNumberFormat="1" applyFont="1" applyAlignment="1">
      <alignment horizontal="center"/>
    </xf>
    <xf numFmtId="164" fontId="8" fillId="0" borderId="12" xfId="2" applyNumberFormat="1" applyFont="1" applyBorder="1" applyAlignment="1">
      <alignment horizontal="center"/>
    </xf>
    <xf numFmtId="164" fontId="8" fillId="0" borderId="9" xfId="2" applyNumberFormat="1" applyFont="1" applyBorder="1" applyAlignment="1">
      <alignment horizontal="center"/>
    </xf>
    <xf numFmtId="164" fontId="8" fillId="0" borderId="3" xfId="2" applyNumberFormat="1" applyFont="1" applyBorder="1" applyAlignment="1">
      <alignment horizontal="center"/>
    </xf>
    <xf numFmtId="164" fontId="8" fillId="0" borderId="10" xfId="2" applyNumberFormat="1" applyFont="1" applyBorder="1" applyAlignment="1">
      <alignment horizontal="center"/>
    </xf>
    <xf numFmtId="164" fontId="7" fillId="0" borderId="0" xfId="2" applyNumberFormat="1" applyFont="1"/>
    <xf numFmtId="164" fontId="8" fillId="0" borderId="0" xfId="2" applyNumberFormat="1" applyFont="1"/>
    <xf numFmtId="164" fontId="8" fillId="0" borderId="1" xfId="2" applyNumberFormat="1" applyFont="1" applyBorder="1" applyAlignment="1">
      <alignment horizontal="center"/>
    </xf>
    <xf numFmtId="164" fontId="8" fillId="0" borderId="2" xfId="2" applyNumberFormat="1" applyFont="1" applyBorder="1" applyAlignment="1">
      <alignment horizontal="center"/>
    </xf>
    <xf numFmtId="164" fontId="8" fillId="0" borderId="5" xfId="2" applyNumberFormat="1" applyFont="1" applyBorder="1" applyAlignment="1">
      <alignment horizontal="center"/>
    </xf>
    <xf numFmtId="164" fontId="6" fillId="0" borderId="5" xfId="0" applyNumberFormat="1" applyFont="1" applyBorder="1" applyAlignment="1">
      <alignment horizontal="center"/>
    </xf>
    <xf numFmtId="164" fontId="13" fillId="0" borderId="0" xfId="2" applyNumberFormat="1" applyFont="1"/>
    <xf numFmtId="164" fontId="16" fillId="0" borderId="6" xfId="2" applyNumberFormat="1" applyFont="1" applyBorder="1" applyAlignment="1">
      <alignment horizontal="center"/>
    </xf>
    <xf numFmtId="164" fontId="16" fillId="0" borderId="7" xfId="2" applyNumberFormat="1" applyFont="1" applyBorder="1" applyAlignment="1">
      <alignment horizontal="center"/>
    </xf>
    <xf numFmtId="164" fontId="16" fillId="0" borderId="8" xfId="2" applyNumberFormat="1" applyFont="1" applyBorder="1" applyAlignment="1">
      <alignment horizontal="center"/>
    </xf>
    <xf numFmtId="164" fontId="18" fillId="0" borderId="6" xfId="0" applyNumberFormat="1" applyFont="1" applyBorder="1" applyAlignment="1">
      <alignment horizontal="center"/>
    </xf>
    <xf numFmtId="164" fontId="18" fillId="0" borderId="7" xfId="0" applyNumberFormat="1" applyFont="1" applyBorder="1" applyAlignment="1">
      <alignment horizontal="center"/>
    </xf>
    <xf numFmtId="164" fontId="18" fillId="0" borderId="8" xfId="0" applyNumberFormat="1" applyFont="1" applyBorder="1" applyAlignment="1">
      <alignment horizontal="center"/>
    </xf>
    <xf numFmtId="164" fontId="16" fillId="0" borderId="9" xfId="2" applyNumberFormat="1" applyFont="1" applyBorder="1" applyAlignment="1">
      <alignment horizontal="center"/>
    </xf>
    <xf numFmtId="164" fontId="16" fillId="0" borderId="3" xfId="2" applyNumberFormat="1" applyFont="1" applyBorder="1" applyAlignment="1">
      <alignment horizontal="center"/>
    </xf>
    <xf numFmtId="164" fontId="16" fillId="0" borderId="10" xfId="2" applyNumberFormat="1" applyFont="1" applyBorder="1" applyAlignment="1">
      <alignment horizontal="center"/>
    </xf>
    <xf numFmtId="164" fontId="18" fillId="0" borderId="9" xfId="0" applyNumberFormat="1" applyFont="1" applyBorder="1" applyAlignment="1">
      <alignment horizontal="center"/>
    </xf>
    <xf numFmtId="164" fontId="18" fillId="0" borderId="3" xfId="0" applyNumberFormat="1" applyFont="1" applyBorder="1" applyAlignment="1">
      <alignment horizontal="center"/>
    </xf>
    <xf numFmtId="164" fontId="18" fillId="0" borderId="10" xfId="0" applyNumberFormat="1" applyFont="1" applyBorder="1" applyAlignment="1">
      <alignment horizontal="center"/>
    </xf>
    <xf numFmtId="164" fontId="20" fillId="0" borderId="0" xfId="2" applyNumberFormat="1" applyFont="1" applyAlignment="1">
      <alignment horizontal="right"/>
    </xf>
    <xf numFmtId="164" fontId="13" fillId="0" borderId="0" xfId="2" applyNumberFormat="1" applyFont="1" applyAlignment="1">
      <alignment horizontal="right"/>
    </xf>
    <xf numFmtId="0" fontId="19" fillId="0" borderId="6" xfId="0" applyFont="1" applyBorder="1"/>
    <xf numFmtId="0" fontId="18" fillId="0" borderId="8" xfId="0" applyFont="1" applyBorder="1"/>
    <xf numFmtId="0" fontId="18" fillId="0" borderId="0" xfId="0" applyFont="1"/>
    <xf numFmtId="0" fontId="18" fillId="0" borderId="9" xfId="0" applyFont="1" applyBorder="1"/>
    <xf numFmtId="0" fontId="18" fillId="0" borderId="10" xfId="0" applyFont="1" applyBorder="1"/>
    <xf numFmtId="0" fontId="19" fillId="0" borderId="0" xfId="0" applyFont="1"/>
    <xf numFmtId="0" fontId="17" fillId="0" borderId="0" xfId="0" applyFont="1"/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6" fillId="0" borderId="7" xfId="1" applyFont="1" applyBorder="1" applyAlignment="1">
      <alignment horizontal="left"/>
    </xf>
    <xf numFmtId="0" fontId="16" fillId="0" borderId="11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12" xfId="0" applyFont="1" applyBorder="1" applyAlignment="1">
      <alignment horizontal="center"/>
    </xf>
    <xf numFmtId="2" fontId="18" fillId="0" borderId="6" xfId="0" applyNumberFormat="1" applyFont="1" applyBorder="1" applyAlignment="1">
      <alignment horizontal="center"/>
    </xf>
    <xf numFmtId="2" fontId="18" fillId="0" borderId="7" xfId="0" applyNumberFormat="1" applyFont="1" applyBorder="1" applyAlignment="1">
      <alignment horizontal="center"/>
    </xf>
    <xf numFmtId="2" fontId="18" fillId="0" borderId="8" xfId="0" applyNumberFormat="1" applyFont="1" applyBorder="1" applyAlignment="1">
      <alignment horizontal="center"/>
    </xf>
    <xf numFmtId="2" fontId="18" fillId="0" borderId="13" xfId="0" applyNumberFormat="1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6" fillId="0" borderId="0" xfId="1" applyFont="1" applyAlignment="1">
      <alignment horizontal="left"/>
    </xf>
    <xf numFmtId="2" fontId="18" fillId="0" borderId="11" xfId="0" applyNumberFormat="1" applyFont="1" applyBorder="1" applyAlignment="1">
      <alignment horizontal="center"/>
    </xf>
    <xf numFmtId="2" fontId="18" fillId="0" borderId="0" xfId="0" applyNumberFormat="1" applyFont="1" applyAlignment="1">
      <alignment horizontal="center"/>
    </xf>
    <xf numFmtId="2" fontId="18" fillId="0" borderId="12" xfId="0" applyNumberFormat="1" applyFont="1" applyBorder="1" applyAlignment="1">
      <alignment horizontal="center"/>
    </xf>
    <xf numFmtId="2" fontId="18" fillId="0" borderId="14" xfId="0" applyNumberFormat="1" applyFont="1" applyBorder="1" applyAlignment="1">
      <alignment horizontal="center"/>
    </xf>
    <xf numFmtId="0" fontId="27" fillId="0" borderId="0" xfId="0" applyFont="1"/>
    <xf numFmtId="2" fontId="17" fillId="0" borderId="0" xfId="0" applyNumberFormat="1" applyFont="1"/>
    <xf numFmtId="0" fontId="18" fillId="0" borderId="9" xfId="0" applyFont="1" applyBorder="1" applyAlignment="1">
      <alignment horizontal="center"/>
    </xf>
    <xf numFmtId="0" fontId="16" fillId="0" borderId="3" xfId="1" applyFont="1" applyBorder="1" applyAlignment="1">
      <alignment horizontal="left"/>
    </xf>
    <xf numFmtId="0" fontId="16" fillId="0" borderId="9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2" fontId="18" fillId="0" borderId="9" xfId="0" applyNumberFormat="1" applyFont="1" applyBorder="1" applyAlignment="1">
      <alignment horizontal="center"/>
    </xf>
    <xf numFmtId="2" fontId="18" fillId="0" borderId="3" xfId="0" applyNumberFormat="1" applyFont="1" applyBorder="1" applyAlignment="1">
      <alignment horizontal="center"/>
    </xf>
    <xf numFmtId="2" fontId="18" fillId="0" borderId="10" xfId="0" applyNumberFormat="1" applyFont="1" applyBorder="1" applyAlignment="1">
      <alignment horizontal="center"/>
    </xf>
    <xf numFmtId="2" fontId="18" fillId="0" borderId="4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164" fontId="19" fillId="0" borderId="0" xfId="1" applyNumberFormat="1" applyFont="1" applyAlignment="1">
      <alignment horizontal="center" vertical="center" wrapText="1"/>
    </xf>
    <xf numFmtId="164" fontId="14" fillId="0" borderId="0" xfId="1" applyNumberFormat="1" applyFont="1" applyAlignment="1">
      <alignment horizontal="center"/>
    </xf>
    <xf numFmtId="164" fontId="14" fillId="0" borderId="0" xfId="1" applyNumberFormat="1" applyFont="1" applyAlignment="1">
      <alignment horizontal="right"/>
    </xf>
    <xf numFmtId="1" fontId="16" fillId="0" borderId="0" xfId="1" applyNumberFormat="1" applyFont="1" applyAlignment="1">
      <alignment horizontal="left"/>
    </xf>
    <xf numFmtId="0" fontId="14" fillId="0" borderId="0" xfId="1" applyFont="1"/>
    <xf numFmtId="164" fontId="19" fillId="0" borderId="7" xfId="1" applyNumberFormat="1" applyFont="1" applyBorder="1" applyAlignment="1">
      <alignment horizontal="center" vertical="center" wrapText="1"/>
    </xf>
    <xf numFmtId="164" fontId="19" fillId="0" borderId="7" xfId="1" applyNumberFormat="1" applyFont="1" applyBorder="1" applyAlignment="1">
      <alignment horizontal="center" vertical="center"/>
    </xf>
    <xf numFmtId="164" fontId="19" fillId="0" borderId="8" xfId="1" applyNumberFormat="1" applyFont="1" applyBorder="1" applyAlignment="1">
      <alignment horizontal="center" vertical="center"/>
    </xf>
    <xf numFmtId="164" fontId="14" fillId="0" borderId="7" xfId="1" applyNumberFormat="1" applyFont="1" applyBorder="1" applyAlignment="1">
      <alignment horizontal="left"/>
    </xf>
    <xf numFmtId="0" fontId="18" fillId="0" borderId="7" xfId="0" applyFont="1" applyBorder="1"/>
    <xf numFmtId="0" fontId="19" fillId="0" borderId="1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8" fillId="0" borderId="11" xfId="1" applyFont="1" applyBorder="1" applyAlignment="1">
      <alignment horizontal="center"/>
    </xf>
    <xf numFmtId="0" fontId="18" fillId="0" borderId="0" xfId="0" applyFont="1" applyAlignment="1">
      <alignment horizontal="center"/>
    </xf>
    <xf numFmtId="164" fontId="18" fillId="0" borderId="0" xfId="0" applyNumberFormat="1" applyFont="1" applyAlignment="1">
      <alignment horizontal="center"/>
    </xf>
    <xf numFmtId="164" fontId="18" fillId="0" borderId="12" xfId="0" applyNumberFormat="1" applyFont="1" applyBorder="1" applyAlignment="1">
      <alignment horizontal="center"/>
    </xf>
    <xf numFmtId="1" fontId="16" fillId="0" borderId="6" xfId="1" applyNumberFormat="1" applyFont="1" applyBorder="1" applyAlignment="1">
      <alignment horizontal="center"/>
    </xf>
    <xf numFmtId="0" fontId="18" fillId="0" borderId="7" xfId="0" applyFont="1" applyBorder="1" applyAlignment="1">
      <alignment horizontal="left"/>
    </xf>
    <xf numFmtId="0" fontId="18" fillId="0" borderId="7" xfId="0" applyFont="1" applyBorder="1" applyAlignment="1">
      <alignment horizontal="center"/>
    </xf>
    <xf numFmtId="0" fontId="18" fillId="0" borderId="6" xfId="0" applyFont="1" applyBorder="1"/>
    <xf numFmtId="2" fontId="18" fillId="0" borderId="8" xfId="0" applyNumberFormat="1" applyFont="1" applyBorder="1"/>
    <xf numFmtId="2" fontId="18" fillId="0" borderId="0" xfId="0" applyNumberFormat="1" applyFont="1"/>
    <xf numFmtId="0" fontId="19" fillId="0" borderId="9" xfId="0" applyFont="1" applyBorder="1" applyAlignment="1">
      <alignment horizontal="center"/>
    </xf>
    <xf numFmtId="0" fontId="19" fillId="0" borderId="9" xfId="0" applyFont="1" applyBorder="1"/>
    <xf numFmtId="0" fontId="18" fillId="0" borderId="0" xfId="1" applyFont="1" applyAlignment="1">
      <alignment horizontal="center"/>
    </xf>
    <xf numFmtId="1" fontId="16" fillId="0" borderId="9" xfId="1" applyNumberFormat="1" applyFont="1" applyBorder="1" applyAlignment="1">
      <alignment horizontal="center"/>
    </xf>
    <xf numFmtId="0" fontId="18" fillId="0" borderId="3" xfId="0" applyFont="1" applyBorder="1" applyAlignment="1">
      <alignment horizontal="left"/>
    </xf>
    <xf numFmtId="0" fontId="18" fillId="0" borderId="3" xfId="0" applyFont="1" applyBorder="1" applyAlignment="1">
      <alignment horizontal="center"/>
    </xf>
    <xf numFmtId="2" fontId="18" fillId="0" borderId="10" xfId="0" applyNumberFormat="1" applyFont="1" applyBorder="1"/>
    <xf numFmtId="2" fontId="18" fillId="0" borderId="7" xfId="0" applyNumberFormat="1" applyFont="1" applyBorder="1"/>
    <xf numFmtId="0" fontId="18" fillId="0" borderId="11" xfId="0" applyFont="1" applyBorder="1"/>
    <xf numFmtId="2" fontId="18" fillId="0" borderId="12" xfId="0" applyNumberFormat="1" applyFont="1" applyBorder="1"/>
    <xf numFmtId="0" fontId="18" fillId="0" borderId="3" xfId="0" applyFont="1" applyBorder="1"/>
    <xf numFmtId="0" fontId="18" fillId="0" borderId="12" xfId="0" applyFont="1" applyBorder="1" applyAlignment="1">
      <alignment horizontal="center"/>
    </xf>
    <xf numFmtId="0" fontId="18" fillId="0" borderId="9" xfId="1" applyFont="1" applyBorder="1" applyAlignment="1">
      <alignment horizontal="center"/>
    </xf>
    <xf numFmtId="0" fontId="18" fillId="0" borderId="3" xfId="1" applyFont="1" applyBorder="1" applyAlignment="1">
      <alignment horizontal="center"/>
    </xf>
    <xf numFmtId="2" fontId="18" fillId="0" borderId="3" xfId="0" applyNumberFormat="1" applyFont="1" applyBorder="1"/>
    <xf numFmtId="164" fontId="16" fillId="0" borderId="0" xfId="1" applyNumberFormat="1" applyFont="1" applyAlignment="1">
      <alignment horizontal="left"/>
    </xf>
    <xf numFmtId="0" fontId="22" fillId="0" borderId="0" xfId="0" applyFont="1"/>
    <xf numFmtId="0" fontId="24" fillId="0" borderId="0" xfId="0" applyFont="1"/>
    <xf numFmtId="2" fontId="18" fillId="0" borderId="0" xfId="0" applyNumberFormat="1" applyFont="1" applyAlignment="1">
      <alignment horizontal="left"/>
    </xf>
    <xf numFmtId="0" fontId="5" fillId="0" borderId="0" xfId="0" applyFont="1"/>
    <xf numFmtId="0" fontId="19" fillId="0" borderId="13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6" fillId="0" borderId="0" xfId="1" applyFont="1" applyAlignment="1">
      <alignment horizontal="left"/>
    </xf>
    <xf numFmtId="0" fontId="16" fillId="0" borderId="12" xfId="1" applyFont="1" applyBorder="1" applyAlignment="1">
      <alignment horizontal="left"/>
    </xf>
    <xf numFmtId="0" fontId="16" fillId="0" borderId="7" xfId="1" applyFont="1" applyBorder="1" applyAlignment="1">
      <alignment horizontal="left"/>
    </xf>
    <xf numFmtId="0" fontId="16" fillId="0" borderId="8" xfId="1" applyFont="1" applyBorder="1" applyAlignment="1">
      <alignment horizontal="left"/>
    </xf>
    <xf numFmtId="0" fontId="14" fillId="0" borderId="6" xfId="1" applyFont="1" applyBorder="1" applyAlignment="1">
      <alignment horizontal="center" vertical="center"/>
    </xf>
    <xf numFmtId="0" fontId="14" fillId="0" borderId="7" xfId="1" applyFont="1" applyBorder="1" applyAlignment="1">
      <alignment horizontal="center" vertical="center"/>
    </xf>
    <xf numFmtId="0" fontId="14" fillId="0" borderId="8" xfId="1" applyFont="1" applyBorder="1" applyAlignment="1">
      <alignment horizontal="center" vertical="center"/>
    </xf>
    <xf numFmtId="0" fontId="14" fillId="0" borderId="9" xfId="1" applyFont="1" applyBorder="1" applyAlignment="1">
      <alignment horizontal="center" vertical="center"/>
    </xf>
    <xf numFmtId="0" fontId="14" fillId="0" borderId="3" xfId="1" applyFont="1" applyBorder="1" applyAlignment="1">
      <alignment horizontal="center" vertical="center"/>
    </xf>
    <xf numFmtId="0" fontId="14" fillId="0" borderId="10" xfId="1" applyFont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8" fillId="0" borderId="7" xfId="0" applyFont="1" applyBorder="1" applyAlignment="1">
      <alignment horizontal="left"/>
    </xf>
    <xf numFmtId="0" fontId="18" fillId="0" borderId="3" xfId="0" applyFont="1" applyBorder="1" applyAlignment="1">
      <alignment horizontal="left"/>
    </xf>
    <xf numFmtId="0" fontId="16" fillId="0" borderId="3" xfId="1" applyFont="1" applyBorder="1" applyAlignment="1">
      <alignment horizontal="left"/>
    </xf>
    <xf numFmtId="0" fontId="16" fillId="0" borderId="10" xfId="1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8" fillId="0" borderId="6" xfId="0" applyFont="1" applyBorder="1" applyAlignment="1">
      <alignment horizontal="left"/>
    </xf>
    <xf numFmtId="0" fontId="18" fillId="0" borderId="8" xfId="0" applyFont="1" applyBorder="1" applyAlignment="1">
      <alignment horizontal="left"/>
    </xf>
    <xf numFmtId="0" fontId="18" fillId="0" borderId="0" xfId="0" applyFont="1" applyAlignment="1">
      <alignment horizontal="left"/>
    </xf>
    <xf numFmtId="0" fontId="18" fillId="0" borderId="11" xfId="0" applyFont="1" applyBorder="1" applyAlignment="1">
      <alignment horizontal="left"/>
    </xf>
    <xf numFmtId="0" fontId="18" fillId="0" borderId="12" xfId="0" applyFont="1" applyBorder="1" applyAlignment="1">
      <alignment horizontal="left"/>
    </xf>
    <xf numFmtId="0" fontId="18" fillId="0" borderId="9" xfId="0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8" fillId="0" borderId="0" xfId="0" applyFont="1" applyAlignment="1">
      <alignment horizontal="center"/>
    </xf>
  </cellXfs>
  <cellStyles count="3">
    <cellStyle name="Normal" xfId="0" builtinId="0"/>
    <cellStyle name="Normal_Calculos" xfId="2" xr:uid="{A1AA49BC-9180-4030-8A68-B2FF180E3C58}"/>
    <cellStyle name="Normal_Hoja1" xfId="1" xr:uid="{FE20DBC1-102B-4B81-A013-1563E4EAEF2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Cu!$R$2</c:f>
          <c:strCache>
            <c:ptCount val="1"/>
            <c:pt idx="0">
              <c:v>Predominance area diagrams for the Cu-S-O at 800 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Cu!$R$2</c:f>
              <c:strCache>
                <c:ptCount val="1"/>
                <c:pt idx="0">
                  <c:v>Predominance area diagrams for the Cu-S-O at 800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Cu!$AF$28:$AF$68</c:f>
              <c:numCache>
                <c:formatCode>0.00</c:formatCode>
                <c:ptCount val="41"/>
                <c:pt idx="0">
                  <c:v>-20</c:v>
                </c:pt>
                <c:pt idx="1">
                  <c:v>-13.78876468608704</c:v>
                </c:pt>
                <c:pt idx="3">
                  <c:v>-20</c:v>
                </c:pt>
                <c:pt idx="4">
                  <c:v>-15.429793010402065</c:v>
                </c:pt>
                <c:pt idx="6">
                  <c:v>-15.429793010402067</c:v>
                </c:pt>
                <c:pt idx="7">
                  <c:v>-15.429793010402067</c:v>
                </c:pt>
                <c:pt idx="9">
                  <c:v>-12.491738112734577</c:v>
                </c:pt>
                <c:pt idx="10">
                  <c:v>-12.161790431749331</c:v>
                </c:pt>
                <c:pt idx="12">
                  <c:v>-13.78876468608704</c:v>
                </c:pt>
                <c:pt idx="13">
                  <c:v>-12.491738112734577</c:v>
                </c:pt>
                <c:pt idx="15">
                  <c:v>-12.491738112734577</c:v>
                </c:pt>
                <c:pt idx="16">
                  <c:v>-12.161790431749331</c:v>
                </c:pt>
                <c:pt idx="18">
                  <c:v>-13.788764686087038</c:v>
                </c:pt>
                <c:pt idx="19">
                  <c:v>-13.788764686087038</c:v>
                </c:pt>
                <c:pt idx="21">
                  <c:v>-12.491738112734577</c:v>
                </c:pt>
                <c:pt idx="22" formatCode="0.000">
                  <c:v>-12.491738112734577</c:v>
                </c:pt>
                <c:pt idx="24">
                  <c:v>-7.3590849048426641</c:v>
                </c:pt>
                <c:pt idx="25">
                  <c:v>2</c:v>
                </c:pt>
                <c:pt idx="27">
                  <c:v>-8.59820602208503</c:v>
                </c:pt>
                <c:pt idx="28" formatCode="0.000">
                  <c:v>-7.3590849048426641</c:v>
                </c:pt>
                <c:pt idx="30">
                  <c:v>-8.59820602208503</c:v>
                </c:pt>
                <c:pt idx="31">
                  <c:v>2</c:v>
                </c:pt>
                <c:pt idx="33">
                  <c:v>-7.3590849048426641</c:v>
                </c:pt>
                <c:pt idx="34">
                  <c:v>-7.3590849048426641</c:v>
                </c:pt>
                <c:pt idx="36">
                  <c:v>-15.429793010402065</c:v>
                </c:pt>
                <c:pt idx="37" formatCode="0.000">
                  <c:v>-12.491738112734575</c:v>
                </c:pt>
                <c:pt idx="39">
                  <c:v>-12.161790431749331</c:v>
                </c:pt>
                <c:pt idx="40">
                  <c:v>-8.59820602208503</c:v>
                </c:pt>
              </c:numCache>
            </c:numRef>
          </c:xVal>
          <c:yVal>
            <c:numRef>
              <c:f>Cu!$AG$28:$AG$68</c:f>
              <c:numCache>
                <c:formatCode>0.00</c:formatCode>
                <c:ptCount val="41"/>
                <c:pt idx="0">
                  <c:v>-0.8792777449501159</c:v>
                </c:pt>
                <c:pt idx="1">
                  <c:v>5.331957568962844</c:v>
                </c:pt>
                <c:pt idx="3">
                  <c:v>-7.7013853276863475</c:v>
                </c:pt>
                <c:pt idx="4">
                  <c:v>-3.1311783380884126</c:v>
                </c:pt>
                <c:pt idx="6" formatCode="General">
                  <c:v>-10</c:v>
                </c:pt>
                <c:pt idx="7">
                  <c:v>-3.1311783380884179</c:v>
                </c:pt>
                <c:pt idx="9">
                  <c:v>1.2759040084128239</c:v>
                </c:pt>
                <c:pt idx="10">
                  <c:v>1.1109301679202011</c:v>
                </c:pt>
                <c:pt idx="12">
                  <c:v>5.3319575689628422</c:v>
                </c:pt>
                <c:pt idx="13">
                  <c:v>1.4408778489054512</c:v>
                </c:pt>
                <c:pt idx="15">
                  <c:v>1.440877848905453</c:v>
                </c:pt>
                <c:pt idx="16">
                  <c:v>1.1109301679202073</c:v>
                </c:pt>
                <c:pt idx="18">
                  <c:v>5.331957568962844</c:v>
                </c:pt>
                <c:pt idx="19">
                  <c:v>20</c:v>
                </c:pt>
                <c:pt idx="21">
                  <c:v>1.4408778489054512</c:v>
                </c:pt>
                <c:pt idx="22">
                  <c:v>1.275904008412823</c:v>
                </c:pt>
                <c:pt idx="24">
                  <c:v>-2.8008792565703882</c:v>
                </c:pt>
                <c:pt idx="25">
                  <c:v>-7.4804217089917202</c:v>
                </c:pt>
                <c:pt idx="27">
                  <c:v>-1.5617581393280222</c:v>
                </c:pt>
                <c:pt idx="28">
                  <c:v>-2.8008792565703882</c:v>
                </c:pt>
                <c:pt idx="30">
                  <c:v>-1.5617581393280222</c:v>
                </c:pt>
                <c:pt idx="31">
                  <c:v>-6.8608611503705372</c:v>
                </c:pt>
                <c:pt idx="33">
                  <c:v>-10</c:v>
                </c:pt>
                <c:pt idx="34">
                  <c:v>-2.8008792565703882</c:v>
                </c:pt>
                <c:pt idx="36">
                  <c:v>-3.1311783380884108</c:v>
                </c:pt>
                <c:pt idx="37">
                  <c:v>1.275904008412823</c:v>
                </c:pt>
                <c:pt idx="39">
                  <c:v>1.1109301679202002</c:v>
                </c:pt>
                <c:pt idx="40">
                  <c:v>-1.5617581393280258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F4-414A-A691-4DD45327D85A}"/>
            </c:ext>
          </c:extLst>
        </c:ser>
        <c:ser>
          <c:idx val="1"/>
          <c:order val="1"/>
          <c:tx>
            <c:strRef>
              <c:f>Cu!$U$29</c:f>
              <c:strCache>
                <c:ptCount val="1"/>
                <c:pt idx="0">
                  <c:v>Cu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1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F4-414A-A691-4DD45327D8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1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Cu!$V$29</c:f>
              <c:numCache>
                <c:formatCode>0.00</c:formatCode>
                <c:ptCount val="1"/>
                <c:pt idx="0">
                  <c:v>-17.714896505201033</c:v>
                </c:pt>
              </c:numCache>
            </c:numRef>
          </c:xVal>
          <c:yVal>
            <c:numRef>
              <c:f>Cu!$W$29</c:f>
              <c:numCache>
                <c:formatCode>0.00</c:formatCode>
                <c:ptCount val="1"/>
                <c:pt idx="0">
                  <c:v>-5.4162818328873801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F4-414A-A691-4DD45327D85A}"/>
            </c:ext>
          </c:extLst>
        </c:ser>
        <c:ser>
          <c:idx val="2"/>
          <c:order val="2"/>
          <c:tx>
            <c:strRef>
              <c:f>Cu!$U$30</c:f>
              <c:strCache>
                <c:ptCount val="1"/>
                <c:pt idx="0">
                  <c:v>CuS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6.8294109928780572E-2"/>
                  <c:y val="-0.17473391047030248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F4-414A-A691-4DD45327D8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Cu!$V$30</c:f>
              <c:numCache>
                <c:formatCode>0.00</c:formatCode>
                <c:ptCount val="1"/>
                <c:pt idx="0">
                  <c:v>-16.894382343043521</c:v>
                </c:pt>
              </c:numCache>
            </c:numRef>
          </c:xVal>
          <c:yVal>
            <c:numRef>
              <c:f>Cu!$W$30</c:f>
              <c:numCache>
                <c:formatCode>0.00</c:formatCode>
                <c:ptCount val="1"/>
                <c:pt idx="0">
                  <c:v>2.2263399120063641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DF4-414A-A691-4DD45327D85A}"/>
            </c:ext>
          </c:extLst>
        </c:ser>
        <c:ser>
          <c:idx val="3"/>
          <c:order val="3"/>
          <c:tx>
            <c:strRef>
              <c:f>Cu!$U$31</c:f>
              <c:strCache>
                <c:ptCount val="1"/>
                <c:pt idx="0">
                  <c:v>Cu₂S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0329427221233523"/>
                  <c:y val="-1.4305289521600706E-2"/>
                </c:manualLayout>
              </c:layout>
              <c:tx>
                <c:rich>
                  <a:bodyPr/>
                  <a:lstStyle/>
                  <a:p>
                    <a:fld id="{D9B03650-08DD-4C7F-9BA2-FF1DEE3F604D}" type="SERIESNAME">
                      <a:rPr lang="en-US" b="1"/>
                      <a:pPr/>
                      <a:t>[NOMBRE DE LA SERIE]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DDF4-414A-A691-4DD45327D8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Cu!$V$31</c:f>
              <c:numCache>
                <c:formatCode>0.00</c:formatCode>
                <c:ptCount val="1"/>
                <c:pt idx="0">
                  <c:v>-12.326764272241954</c:v>
                </c:pt>
              </c:numCache>
            </c:numRef>
          </c:xVal>
          <c:yVal>
            <c:numRef>
              <c:f>Cu!$W$31</c:f>
              <c:numCache>
                <c:formatCode>0.00</c:formatCode>
                <c:ptCount val="1"/>
                <c:pt idx="0">
                  <c:v>1.1934170881665125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DF4-414A-A691-4DD45327D85A}"/>
            </c:ext>
          </c:extLst>
        </c:ser>
        <c:ser>
          <c:idx val="4"/>
          <c:order val="4"/>
          <c:tx>
            <c:strRef>
              <c:f>Cu!$U$32</c:f>
              <c:strCache>
                <c:ptCount val="1"/>
                <c:pt idx="0">
                  <c:v>Cu₂SO₄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1.2749528439963348E-2"/>
                  <c:y val="-1.5132269983120183E-2"/>
                </c:manualLayout>
              </c:layout>
              <c:tx>
                <c:rich>
                  <a:bodyPr/>
                  <a:lstStyle/>
                  <a:p>
                    <a:fld id="{090A8C87-3814-47D4-A1AC-3F62AE5A7BD5}" type="SERIESNAME">
                      <a:rPr lang="en-US" b="1"/>
                      <a:pPr/>
                      <a:t>[NOMBRE DE LA SERIE]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DDF4-414A-A691-4DD45327D8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Cu!$V$32</c:f>
              <c:numCache>
                <c:formatCode>0.00</c:formatCode>
                <c:ptCount val="1"/>
                <c:pt idx="0">
                  <c:v>-12.326764272241954</c:v>
                </c:pt>
              </c:numCache>
            </c:numRef>
          </c:xVal>
          <c:yVal>
            <c:numRef>
              <c:f>Cu!$W$32</c:f>
              <c:numCache>
                <c:formatCode>0.00</c:formatCode>
                <c:ptCount val="1"/>
                <c:pt idx="0">
                  <c:v>1.1934170881665125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DF4-414A-A691-4DD45327D85A}"/>
            </c:ext>
          </c:extLst>
        </c:ser>
        <c:ser>
          <c:idx val="5"/>
          <c:order val="5"/>
          <c:tx>
            <c:strRef>
              <c:f>Cu!$U$33</c:f>
              <c:strCache>
                <c:ptCount val="1"/>
                <c:pt idx="0">
                  <c:v>Cu₂O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1541858301195856"/>
                  <c:y val="1.801551320097368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DF4-414A-A691-4DD45327D8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Cu!$V$33</c:f>
              <c:numCache>
                <c:formatCode>0.00</c:formatCode>
                <c:ptCount val="1"/>
                <c:pt idx="0">
                  <c:v>-7.9786454634638471</c:v>
                </c:pt>
              </c:numCache>
            </c:numRef>
          </c:xVal>
          <c:yVal>
            <c:numRef>
              <c:f>Cu!$W$33</c:f>
              <c:numCache>
                <c:formatCode>0.00</c:formatCode>
                <c:ptCount val="1"/>
                <c:pt idx="0">
                  <c:v>-2.1813186979492052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DF4-414A-A691-4DD45327D85A}"/>
            </c:ext>
          </c:extLst>
        </c:ser>
        <c:ser>
          <c:idx val="6"/>
          <c:order val="6"/>
          <c:tx>
            <c:strRef>
              <c:f>Cu!$U$34</c:f>
              <c:strCache>
                <c:ptCount val="1"/>
                <c:pt idx="0">
                  <c:v>CuSO₄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1.5446964610639187E-2"/>
                  <c:y val="-0.12326759800952641"/>
                </c:manualLayout>
              </c:layout>
              <c:tx>
                <c:rich>
                  <a:bodyPr/>
                  <a:lstStyle/>
                  <a:p>
                    <a:fld id="{52EAE1C6-4101-4D32-B11A-DD051CF65F5F}" type="SERIESNAME">
                      <a:rPr lang="en-US" sz="1050" b="1"/>
                      <a:pPr/>
                      <a:t>[NOMBRE DE LA SERIE]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DDF4-414A-A691-4DD45327D8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Cu!$V$34</c:f>
              <c:numCache>
                <c:formatCode>0.00</c:formatCode>
                <c:ptCount val="1"/>
                <c:pt idx="0">
                  <c:v>-7.9786454634638471</c:v>
                </c:pt>
              </c:numCache>
            </c:numRef>
          </c:xVal>
          <c:yVal>
            <c:numRef>
              <c:f>Cu!$W$34</c:f>
              <c:numCache>
                <c:formatCode>0.00</c:formatCode>
                <c:ptCount val="1"/>
                <c:pt idx="0">
                  <c:v>-2.1813186979492052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DF4-414A-A691-4DD45327D85A}"/>
            </c:ext>
          </c:extLst>
        </c:ser>
        <c:ser>
          <c:idx val="7"/>
          <c:order val="7"/>
          <c:tx>
            <c:strRef>
              <c:f>Cu!$U$35</c:f>
              <c:strCache>
                <c:ptCount val="1"/>
                <c:pt idx="0">
                  <c:v>CuO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3.084851880631934E-2"/>
                  <c:y val="9.592239284362753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DF4-414A-A691-4DD45327D8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Cu!$V$35</c:f>
              <c:numCache>
                <c:formatCode>0.00</c:formatCode>
                <c:ptCount val="1"/>
                <c:pt idx="0">
                  <c:v>-5.0799820807065261</c:v>
                </c:pt>
              </c:numCache>
            </c:numRef>
          </c:xVal>
          <c:yVal>
            <c:numRef>
              <c:f>Cu!$W$35</c:f>
              <c:numCache>
                <c:formatCode>0.00</c:formatCode>
                <c:ptCount val="1"/>
                <c:pt idx="0">
                  <c:v>-5.0799820807065261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DF4-414A-A691-4DD45327D85A}"/>
            </c:ext>
          </c:extLst>
        </c:ser>
        <c:ser>
          <c:idx val="8"/>
          <c:order val="8"/>
          <c:tx>
            <c:strRef>
              <c:f>Cu!$U$36</c:f>
              <c:strCache>
                <c:ptCount val="1"/>
                <c:pt idx="0">
                  <c:v>CuO·CuSO₄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Cu!$V$36</c:f>
              <c:numCache>
                <c:formatCode>0.00</c:formatCode>
                <c:ptCount val="1"/>
                <c:pt idx="0">
                  <c:v>-7.3590849048426641</c:v>
                </c:pt>
              </c:numCache>
            </c:numRef>
          </c:xVal>
          <c:yVal>
            <c:numRef>
              <c:f>Cu!$W$36</c:f>
              <c:numCache>
                <c:formatCode>0.00</c:formatCode>
                <c:ptCount val="1"/>
                <c:pt idx="0">
                  <c:v>-2.8008792565703882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DF4-414A-A691-4DD45327D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6802240"/>
        <c:axId val="1331251616"/>
      </c:scatterChart>
      <c:valAx>
        <c:axId val="1326802240"/>
        <c:scaling>
          <c:orientation val="minMax"/>
          <c:max val="2"/>
          <c:min val="-2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400">
                    <a:solidFill>
                      <a:schemeClr val="tx1"/>
                    </a:solidFill>
                  </a:rPr>
                  <a:t>log Po</a:t>
                </a:r>
                <a:r>
                  <a:rPr lang="es-PE" sz="1400" baseline="-25000">
                    <a:solidFill>
                      <a:schemeClr val="tx1"/>
                    </a:solidFill>
                  </a:rPr>
                  <a:t>2(g)</a:t>
                </a:r>
                <a:endParaRPr lang="es-PE" sz="14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251616"/>
        <c:crosses val="autoZero"/>
        <c:crossBetween val="midCat"/>
      </c:valAx>
      <c:valAx>
        <c:axId val="1331251616"/>
        <c:scaling>
          <c:orientation val="minMax"/>
          <c:max val="20"/>
          <c:min val="-1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400">
                    <a:solidFill>
                      <a:schemeClr val="tx1"/>
                    </a:solidFill>
                  </a:rPr>
                  <a:t>log</a:t>
                </a:r>
                <a:r>
                  <a:rPr lang="es-PE" sz="1400" baseline="0">
                    <a:solidFill>
                      <a:schemeClr val="tx1"/>
                    </a:solidFill>
                  </a:rPr>
                  <a:t> Pso</a:t>
                </a:r>
                <a:r>
                  <a:rPr lang="es-PE" sz="1400" baseline="-25000">
                    <a:solidFill>
                      <a:schemeClr val="tx1"/>
                    </a:solidFill>
                  </a:rPr>
                  <a:t>2(g)</a:t>
                </a:r>
                <a:endParaRPr lang="es-PE" sz="14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6802240"/>
        <c:crosses val="autoZero"/>
        <c:crossBetween val="midCat"/>
      </c:valAx>
      <c:spPr>
        <a:noFill/>
        <a:ln>
          <a:solidFill>
            <a:schemeClr val="tx1">
              <a:alpha val="9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M$3" horiz="1" inc="50" max="1500" min="650" page="10" val="80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240633</xdr:colOff>
      <xdr:row>1</xdr:row>
      <xdr:rowOff>111405</xdr:rowOff>
    </xdr:from>
    <xdr:to>
      <xdr:col>5</xdr:col>
      <xdr:colOff>518133</xdr:colOff>
      <xdr:row>20</xdr:row>
      <xdr:rowOff>166155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0</xdr:rowOff>
        </xdr:from>
        <xdr:to>
          <xdr:col>8</xdr:col>
          <xdr:colOff>2295525</xdr:colOff>
          <xdr:row>1</xdr:row>
          <xdr:rowOff>123825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532341</xdr:colOff>
      <xdr:row>3</xdr:row>
      <xdr:rowOff>66674</xdr:rowOff>
    </xdr:from>
    <xdr:ext cx="2698687" cy="1712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3044560" y="566737"/>
              <a:ext cx="2698687" cy="1712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Cp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A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B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10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−3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5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</a:rPr>
                      <m:t> 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−2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D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−6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</a:rPr>
                      <m:t> 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PE" sz="1100" i="0">
                <a:latin typeface="MS Sans Serif"/>
                <a:ea typeface="MS Gothic" panose="020B0609070205080204" pitchFamily="49" charset="-128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3044560" y="566737"/>
              <a:ext cx="2698687" cy="1712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Cp=A+B〖 10〗^(−3)  T+C 10^5  T^(−2)+D 10^(−6)  T^2</a:t>
              </a:r>
              <a:endParaRPr lang="es-PE" sz="1100" i="0">
                <a:latin typeface="MS Sans Serif"/>
                <a:ea typeface="MS Gothic" panose="020B0609070205080204" pitchFamily="49" charset="-128"/>
              </a:endParaRPr>
            </a:p>
          </xdr:txBody>
        </xdr:sp>
      </mc:Fallback>
    </mc:AlternateContent>
    <xdr:clientData/>
  </xdr:oneCellAnchor>
  <xdr:oneCellAnchor>
    <xdr:from>
      <xdr:col>27</xdr:col>
      <xdr:colOff>428625</xdr:colOff>
      <xdr:row>6</xdr:row>
      <xdr:rowOff>142875</xdr:rowOff>
    </xdr:from>
    <xdr:ext cx="1194686" cy="179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20407313" y="1143000"/>
              <a:ext cx="1194686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∆</m:t>
                        </m:r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𝐺</m:t>
                        </m:r>
                      </m:e>
                      <m:sup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p>
                    </m:sSup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1C3E78B-495E-4C92-A3FE-246B29EF3C04}"/>
                </a:ext>
              </a:extLst>
            </xdr:cNvPr>
            <xdr:cNvSpPr txBox="1"/>
          </xdr:nvSpPr>
          <xdr:spPr>
            <a:xfrm>
              <a:off x="20407313" y="1143000"/>
              <a:ext cx="1194686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〖∆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〗^0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 〖∆𝐻〗^0−〖𝑇∆𝑆〗^0</a:t>
              </a:r>
              <a:endParaRPr lang="es-MX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3F85B-ECF8-457E-9CC5-D12A1FC0796C}">
  <dimension ref="A1:AK1444"/>
  <sheetViews>
    <sheetView showGridLines="0" tabSelected="1" zoomScale="60" zoomScaleNormal="60" workbookViewId="0">
      <selection activeCell="C46" sqref="C46"/>
    </sheetView>
  </sheetViews>
  <sheetFormatPr baseColWidth="10" defaultColWidth="10.7109375" defaultRowHeight="15" x14ac:dyDescent="0.25"/>
  <cols>
    <col min="1" max="1" width="10.7109375" style="84"/>
    <col min="2" max="3" width="14.140625" style="84" bestFit="1" customWidth="1"/>
    <col min="4" max="4" width="15.7109375" style="84" customWidth="1"/>
    <col min="5" max="6" width="16.85546875" style="84" customWidth="1"/>
    <col min="7" max="7" width="13.7109375" style="84" customWidth="1"/>
    <col min="8" max="8" width="10.7109375" style="84"/>
    <col min="9" max="9" width="38.7109375" style="84" bestFit="1" customWidth="1"/>
    <col min="10" max="10" width="10.7109375" style="84"/>
    <col min="11" max="14" width="10.140625" style="84" customWidth="1"/>
    <col min="15" max="15" width="12.42578125" style="84" customWidth="1"/>
    <col min="16" max="16" width="13.42578125" style="84" customWidth="1"/>
    <col min="17" max="17" width="13.42578125" style="84" bestFit="1" customWidth="1"/>
    <col min="18" max="19" width="10.140625" style="84" customWidth="1"/>
    <col min="20" max="20" width="12.7109375" style="84" bestFit="1" customWidth="1"/>
    <col min="21" max="22" width="10.7109375" style="84"/>
    <col min="23" max="23" width="12.7109375" style="84" bestFit="1" customWidth="1"/>
    <col min="24" max="26" width="10.7109375" style="84"/>
    <col min="27" max="27" width="16.140625" style="84" bestFit="1" customWidth="1"/>
    <col min="28" max="30" width="10.7109375" style="84"/>
    <col min="31" max="31" width="18.85546875" style="84" customWidth="1"/>
    <col min="32" max="33" width="10.7109375" style="84"/>
    <col min="34" max="34" width="12.7109375" style="84" bestFit="1" customWidth="1"/>
    <col min="35" max="16384" width="10.7109375" style="84"/>
  </cols>
  <sheetData>
    <row r="1" spans="8:37" ht="13.9" x14ac:dyDescent="0.25">
      <c r="H1" s="82" t="s">
        <v>25</v>
      </c>
      <c r="I1" s="83"/>
    </row>
    <row r="2" spans="8:37" ht="16.5" x14ac:dyDescent="0.3">
      <c r="H2" s="85"/>
      <c r="I2" s="86"/>
      <c r="K2" s="84" t="s">
        <v>19</v>
      </c>
      <c r="M2" s="84">
        <f>M3-273</f>
        <v>527</v>
      </c>
      <c r="O2" s="84" t="s">
        <v>37</v>
      </c>
      <c r="P2" s="84">
        <v>1.9870000000000001</v>
      </c>
      <c r="Q2" s="84" t="s">
        <v>20</v>
      </c>
      <c r="R2" s="87" t="str">
        <f>_xlfn.CONCAT("Predominance area diagrams for the Cu-S-O at ",M3," K")</f>
        <v>Predominance area diagrams for the Cu-S-O at 800 K</v>
      </c>
    </row>
    <row r="3" spans="8:37" ht="13.9" x14ac:dyDescent="0.25">
      <c r="K3" s="87" t="s">
        <v>68</v>
      </c>
      <c r="L3" s="87"/>
      <c r="M3" s="87">
        <v>800</v>
      </c>
      <c r="AH3" s="88"/>
      <c r="AI3" s="88"/>
      <c r="AJ3" s="88"/>
      <c r="AK3" s="88"/>
    </row>
    <row r="4" spans="8:37" ht="13.9" x14ac:dyDescent="0.25">
      <c r="H4" s="84" t="s">
        <v>97</v>
      </c>
      <c r="AH4" s="88"/>
      <c r="AI4" s="88"/>
      <c r="AJ4" s="88"/>
      <c r="AK4" s="88"/>
    </row>
    <row r="5" spans="8:37" ht="16.899999999999999" customHeight="1" x14ac:dyDescent="0.25">
      <c r="H5" s="170" t="s">
        <v>24</v>
      </c>
      <c r="I5" s="171"/>
      <c r="J5" s="172"/>
      <c r="K5" s="176" t="s">
        <v>67</v>
      </c>
      <c r="L5" s="176"/>
      <c r="M5" s="176"/>
      <c r="N5" s="176"/>
      <c r="O5" s="176"/>
      <c r="P5" s="176"/>
      <c r="Q5" s="176"/>
      <c r="R5" s="176"/>
      <c r="S5" s="176"/>
      <c r="T5" s="177"/>
      <c r="U5" s="178" t="s">
        <v>38</v>
      </c>
      <c r="V5" s="176"/>
      <c r="W5" s="176"/>
      <c r="X5" s="176"/>
      <c r="Y5" s="176"/>
      <c r="Z5" s="176"/>
      <c r="AA5" s="176"/>
      <c r="AB5" s="176"/>
      <c r="AC5" s="176"/>
      <c r="AD5" s="177"/>
      <c r="AE5" s="164" t="s">
        <v>69</v>
      </c>
      <c r="AF5" s="164" t="s">
        <v>96</v>
      </c>
      <c r="AH5" s="88"/>
      <c r="AI5" s="88"/>
      <c r="AJ5" s="88"/>
      <c r="AK5" s="88"/>
    </row>
    <row r="6" spans="8:37" x14ac:dyDescent="0.25">
      <c r="H6" s="173"/>
      <c r="I6" s="174"/>
      <c r="J6" s="175"/>
      <c r="K6" s="92" t="s">
        <v>0</v>
      </c>
      <c r="L6" s="92" t="s">
        <v>39</v>
      </c>
      <c r="M6" s="92" t="s">
        <v>1</v>
      </c>
      <c r="N6" s="92" t="s">
        <v>40</v>
      </c>
      <c r="O6" s="92" t="s">
        <v>41</v>
      </c>
      <c r="P6" s="92" t="s">
        <v>42</v>
      </c>
      <c r="Q6" s="92" t="s">
        <v>120</v>
      </c>
      <c r="R6" s="92" t="s">
        <v>2</v>
      </c>
      <c r="S6" s="92" t="s">
        <v>44</v>
      </c>
      <c r="T6" s="93" t="s">
        <v>45</v>
      </c>
      <c r="U6" s="92" t="s">
        <v>0</v>
      </c>
      <c r="V6" s="92" t="s">
        <v>39</v>
      </c>
      <c r="W6" s="92" t="s">
        <v>1</v>
      </c>
      <c r="X6" s="92" t="s">
        <v>40</v>
      </c>
      <c r="Y6" s="92" t="s">
        <v>41</v>
      </c>
      <c r="Z6" s="92" t="s">
        <v>42</v>
      </c>
      <c r="AA6" s="92" t="s">
        <v>43</v>
      </c>
      <c r="AB6" s="92" t="s">
        <v>2</v>
      </c>
      <c r="AC6" s="92" t="s">
        <v>44</v>
      </c>
      <c r="AD6" s="93" t="s">
        <v>45</v>
      </c>
      <c r="AE6" s="165"/>
      <c r="AF6" s="165"/>
      <c r="AH6" s="88"/>
      <c r="AI6" s="88"/>
      <c r="AJ6" s="88"/>
      <c r="AK6" s="88"/>
    </row>
    <row r="7" spans="8:37" ht="18" x14ac:dyDescent="0.35">
      <c r="H7" s="94">
        <v>1</v>
      </c>
      <c r="I7" s="168" t="s">
        <v>48</v>
      </c>
      <c r="J7" s="169"/>
      <c r="K7" s="96">
        <v>0</v>
      </c>
      <c r="L7" s="97">
        <v>1</v>
      </c>
      <c r="M7" s="97">
        <v>-2</v>
      </c>
      <c r="N7" s="97">
        <v>0</v>
      </c>
      <c r="O7" s="97">
        <v>0</v>
      </c>
      <c r="P7" s="97">
        <v>0</v>
      </c>
      <c r="Q7" s="97">
        <v>0</v>
      </c>
      <c r="R7" s="97">
        <v>0</v>
      </c>
      <c r="S7" s="97">
        <v>-1</v>
      </c>
      <c r="T7" s="98">
        <v>1</v>
      </c>
      <c r="U7" s="99">
        <f t="shared" ref="U7:U20" si="0">IF(K7&lt;&gt;0,K7*$F$28,0)</f>
        <v>0</v>
      </c>
      <c r="V7" s="100">
        <f t="shared" ref="V7:V20" si="1">IF(L7&lt;&gt;0,L7*$F$29,0)</f>
        <v>-49.390399060668571</v>
      </c>
      <c r="W7" s="100">
        <f t="shared" ref="W7:W20" ca="1" si="2">IF(M7&lt;&gt;0,M7*$F$30,0)</f>
        <v>59.540223175824252</v>
      </c>
      <c r="X7" s="100">
        <f t="shared" ref="X7:X20" si="3">IF(N7&lt;&gt;0,N7*$F$31,0)</f>
        <v>0</v>
      </c>
      <c r="Y7" s="100">
        <f t="shared" ref="Y7:Y20" si="4">IF(O7&lt;&gt;0,O7*$F$32,0)</f>
        <v>0</v>
      </c>
      <c r="Z7" s="100">
        <f t="shared" ref="Z7:Z20" si="5">IF(P7&lt;&gt;0,P7*$F$33,0)</f>
        <v>0</v>
      </c>
      <c r="AA7" s="100">
        <f t="shared" ref="AA7:AA20" si="6">IF(Q7&lt;&gt;0,Q7*$F$34,0)</f>
        <v>0</v>
      </c>
      <c r="AB7" s="100">
        <f t="shared" ref="AB7:AB20" si="7">IF(R7&lt;&gt;0,R7*$F$35,0)</f>
        <v>0</v>
      </c>
      <c r="AC7" s="100">
        <f t="shared" ref="AC7:AC20" si="8">IF(S7&lt;&gt;0,S7*$F$36,0)</f>
        <v>41.326622436633897</v>
      </c>
      <c r="AD7" s="101">
        <f t="shared" ref="AD7:AD20" si="9">IF(T7&lt;&gt;0,T7*$F$37,0)</f>
        <v>-121.47451967432224</v>
      </c>
      <c r="AE7" s="99">
        <f ca="1">SUM(U7:AD7)</f>
        <v>-69.998073122532659</v>
      </c>
      <c r="AF7" s="102">
        <f ca="1">-AE7/(2.303*$P$2*$M$3)*1000</f>
        <v>19.120722255049884</v>
      </c>
      <c r="AG7" s="88"/>
      <c r="AH7" s="88"/>
      <c r="AI7" s="88"/>
      <c r="AJ7" s="88"/>
      <c r="AK7" s="88"/>
    </row>
    <row r="8" spans="8:37" ht="16.5" x14ac:dyDescent="0.3">
      <c r="H8" s="103">
        <v>2</v>
      </c>
      <c r="I8" s="166" t="s">
        <v>49</v>
      </c>
      <c r="J8" s="167"/>
      <c r="K8" s="96">
        <v>-2</v>
      </c>
      <c r="L8" s="97">
        <v>1</v>
      </c>
      <c r="M8" s="97">
        <v>0</v>
      </c>
      <c r="N8" s="97">
        <v>0</v>
      </c>
      <c r="O8" s="97">
        <v>0</v>
      </c>
      <c r="P8" s="97">
        <v>0</v>
      </c>
      <c r="Q8" s="97">
        <v>0</v>
      </c>
      <c r="R8" s="97">
        <v>0</v>
      </c>
      <c r="S8" s="97">
        <v>1</v>
      </c>
      <c r="T8" s="98">
        <v>-1</v>
      </c>
      <c r="U8" s="105">
        <f t="shared" si="0"/>
        <v>14.265870587782066</v>
      </c>
      <c r="V8" s="106">
        <f t="shared" si="1"/>
        <v>-49.390399060668571</v>
      </c>
      <c r="W8" s="106">
        <f t="shared" si="2"/>
        <v>0</v>
      </c>
      <c r="X8" s="106">
        <f t="shared" si="3"/>
        <v>0</v>
      </c>
      <c r="Y8" s="106">
        <f t="shared" si="4"/>
        <v>0</v>
      </c>
      <c r="Z8" s="106">
        <f t="shared" si="5"/>
        <v>0</v>
      </c>
      <c r="AA8" s="106">
        <f t="shared" si="6"/>
        <v>0</v>
      </c>
      <c r="AB8" s="106">
        <f t="shared" si="7"/>
        <v>0</v>
      </c>
      <c r="AC8" s="106">
        <f t="shared" si="8"/>
        <v>-41.326622436633897</v>
      </c>
      <c r="AD8" s="107">
        <f t="shared" si="9"/>
        <v>121.47451967432224</v>
      </c>
      <c r="AE8" s="105">
        <f t="shared" ref="AE8:AE20" si="10">SUM(U8:AD8)</f>
        <v>45.02336876480183</v>
      </c>
      <c r="AF8" s="108">
        <f t="shared" ref="AF8:AF20" si="11">-AE8/(2.303*$P$2*$M$3)*1000</f>
        <v>-12.298614672313652</v>
      </c>
      <c r="AG8" s="88"/>
      <c r="AH8" s="109"/>
      <c r="AI8" s="109"/>
      <c r="AJ8" s="88"/>
      <c r="AK8" s="88"/>
    </row>
    <row r="9" spans="8:37" ht="16.5" x14ac:dyDescent="0.3">
      <c r="H9" s="103">
        <v>3</v>
      </c>
      <c r="I9" s="166" t="s">
        <v>50</v>
      </c>
      <c r="J9" s="167"/>
      <c r="K9" s="96">
        <v>-2</v>
      </c>
      <c r="L9" s="97">
        <v>0</v>
      </c>
      <c r="M9" s="97">
        <v>0</v>
      </c>
      <c r="N9" s="97">
        <v>1</v>
      </c>
      <c r="O9" s="97">
        <v>0</v>
      </c>
      <c r="P9" s="97">
        <v>0</v>
      </c>
      <c r="Q9" s="97">
        <v>0</v>
      </c>
      <c r="R9" s="97">
        <v>0</v>
      </c>
      <c r="S9" s="97">
        <v>-0.5</v>
      </c>
      <c r="T9" s="98">
        <v>0</v>
      </c>
      <c r="U9" s="105">
        <f t="shared" si="0"/>
        <v>14.265870587782066</v>
      </c>
      <c r="V9" s="106">
        <f t="shared" si="1"/>
        <v>0</v>
      </c>
      <c r="W9" s="106">
        <f t="shared" si="2"/>
        <v>0</v>
      </c>
      <c r="X9" s="106">
        <f t="shared" ca="1" si="3"/>
        <v>-63.172251419288415</v>
      </c>
      <c r="Y9" s="106">
        <f t="shared" si="4"/>
        <v>0</v>
      </c>
      <c r="Z9" s="106">
        <f t="shared" si="5"/>
        <v>0</v>
      </c>
      <c r="AA9" s="106">
        <f t="shared" si="6"/>
        <v>0</v>
      </c>
      <c r="AB9" s="106">
        <f t="shared" si="7"/>
        <v>0</v>
      </c>
      <c r="AC9" s="106">
        <f t="shared" si="8"/>
        <v>20.663311218316949</v>
      </c>
      <c r="AD9" s="107">
        <f t="shared" si="9"/>
        <v>0</v>
      </c>
      <c r="AE9" s="105">
        <f t="shared" ca="1" si="10"/>
        <v>-28.243069613189398</v>
      </c>
      <c r="AF9" s="108">
        <f t="shared" ca="1" si="11"/>
        <v>7.7148965052010334</v>
      </c>
      <c r="AG9" s="88"/>
      <c r="AH9" s="110"/>
      <c r="AI9" s="110"/>
      <c r="AJ9" s="88"/>
      <c r="AK9" s="88"/>
    </row>
    <row r="10" spans="8:37" ht="18" x14ac:dyDescent="0.35">
      <c r="H10" s="103">
        <v>4</v>
      </c>
      <c r="I10" s="166" t="s">
        <v>51</v>
      </c>
      <c r="J10" s="167"/>
      <c r="K10" s="96">
        <v>0</v>
      </c>
      <c r="L10" s="97">
        <v>0</v>
      </c>
      <c r="M10" s="97">
        <v>-1</v>
      </c>
      <c r="N10" s="97">
        <v>0</v>
      </c>
      <c r="O10" s="97">
        <v>0</v>
      </c>
      <c r="P10" s="97">
        <v>1</v>
      </c>
      <c r="Q10" s="97">
        <v>0</v>
      </c>
      <c r="R10" s="97">
        <v>0</v>
      </c>
      <c r="S10" s="97">
        <v>-2</v>
      </c>
      <c r="T10" s="98">
        <v>0</v>
      </c>
      <c r="U10" s="105">
        <f t="shared" si="0"/>
        <v>0</v>
      </c>
      <c r="V10" s="106">
        <f t="shared" si="1"/>
        <v>0</v>
      </c>
      <c r="W10" s="106">
        <f t="shared" ca="1" si="2"/>
        <v>29.770111587912126</v>
      </c>
      <c r="X10" s="106">
        <f t="shared" si="3"/>
        <v>0</v>
      </c>
      <c r="Y10" s="106">
        <f t="shared" si="4"/>
        <v>0</v>
      </c>
      <c r="Z10" s="106">
        <f t="shared" si="5"/>
        <v>-213.38052177026816</v>
      </c>
      <c r="AA10" s="106">
        <f t="shared" si="6"/>
        <v>0</v>
      </c>
      <c r="AB10" s="106">
        <f t="shared" si="7"/>
        <v>0</v>
      </c>
      <c r="AC10" s="106">
        <f t="shared" si="8"/>
        <v>82.653244873267795</v>
      </c>
      <c r="AD10" s="107">
        <f t="shared" si="9"/>
        <v>0</v>
      </c>
      <c r="AE10" s="105">
        <f t="shared" ca="1" si="10"/>
        <v>-100.95716530908823</v>
      </c>
      <c r="AF10" s="108">
        <f t="shared" ca="1" si="11"/>
        <v>27.577529372174077</v>
      </c>
      <c r="AG10" s="88"/>
      <c r="AH10" s="110"/>
      <c r="AI10" s="110"/>
      <c r="AJ10" s="88"/>
      <c r="AK10" s="88"/>
    </row>
    <row r="11" spans="8:37" ht="16.5" x14ac:dyDescent="0.3">
      <c r="H11" s="103">
        <v>5</v>
      </c>
      <c r="I11" s="166" t="s">
        <v>52</v>
      </c>
      <c r="J11" s="167"/>
      <c r="K11" s="96">
        <v>0</v>
      </c>
      <c r="L11" s="97">
        <v>1</v>
      </c>
      <c r="M11" s="97">
        <v>0</v>
      </c>
      <c r="N11" s="97">
        <v>-1</v>
      </c>
      <c r="O11" s="97">
        <v>0</v>
      </c>
      <c r="P11" s="97">
        <v>0</v>
      </c>
      <c r="Q11" s="97">
        <v>0</v>
      </c>
      <c r="R11" s="97">
        <v>0</v>
      </c>
      <c r="S11" s="97">
        <v>1.5</v>
      </c>
      <c r="T11" s="98">
        <v>-1</v>
      </c>
      <c r="U11" s="105">
        <f t="shared" si="0"/>
        <v>0</v>
      </c>
      <c r="V11" s="106">
        <f t="shared" si="1"/>
        <v>-49.390399060668571</v>
      </c>
      <c r="W11" s="106">
        <f t="shared" si="2"/>
        <v>0</v>
      </c>
      <c r="X11" s="106">
        <f t="shared" ca="1" si="3"/>
        <v>63.172251419288415</v>
      </c>
      <c r="Y11" s="106">
        <f t="shared" si="4"/>
        <v>0</v>
      </c>
      <c r="Z11" s="106">
        <f t="shared" si="5"/>
        <v>0</v>
      </c>
      <c r="AA11" s="106">
        <f t="shared" si="6"/>
        <v>0</v>
      </c>
      <c r="AB11" s="106">
        <f t="shared" si="7"/>
        <v>0</v>
      </c>
      <c r="AC11" s="106">
        <f t="shared" si="8"/>
        <v>-61.989933654950846</v>
      </c>
      <c r="AD11" s="107">
        <f t="shared" si="9"/>
        <v>121.47451967432224</v>
      </c>
      <c r="AE11" s="105">
        <f t="shared" ca="1" si="10"/>
        <v>73.266438377991236</v>
      </c>
      <c r="AF11" s="108">
        <f t="shared" ca="1" si="11"/>
        <v>-20.013511177514687</v>
      </c>
      <c r="AG11" s="88"/>
      <c r="AH11" s="88"/>
      <c r="AI11" s="88"/>
      <c r="AJ11" s="88"/>
      <c r="AK11" s="88"/>
    </row>
    <row r="12" spans="8:37" ht="16.5" x14ac:dyDescent="0.3">
      <c r="H12" s="103">
        <v>6</v>
      </c>
      <c r="I12" s="166" t="s">
        <v>53</v>
      </c>
      <c r="J12" s="167"/>
      <c r="K12" s="96">
        <v>0</v>
      </c>
      <c r="L12" s="97">
        <v>-0.5</v>
      </c>
      <c r="M12" s="97">
        <v>0</v>
      </c>
      <c r="N12" s="97">
        <v>0</v>
      </c>
      <c r="O12" s="97">
        <v>0</v>
      </c>
      <c r="P12" s="97">
        <v>1</v>
      </c>
      <c r="Q12" s="97">
        <v>0</v>
      </c>
      <c r="R12" s="97">
        <v>0</v>
      </c>
      <c r="S12" s="97">
        <v>-1.5</v>
      </c>
      <c r="T12" s="98">
        <v>-0.5</v>
      </c>
      <c r="U12" s="105">
        <f t="shared" si="0"/>
        <v>0</v>
      </c>
      <c r="V12" s="106">
        <f t="shared" si="1"/>
        <v>24.695199530334285</v>
      </c>
      <c r="W12" s="106">
        <f t="shared" si="2"/>
        <v>0</v>
      </c>
      <c r="X12" s="106">
        <f t="shared" si="3"/>
        <v>0</v>
      </c>
      <c r="Y12" s="106">
        <f t="shared" si="4"/>
        <v>0</v>
      </c>
      <c r="Z12" s="106">
        <f t="shared" si="5"/>
        <v>-213.38052177026816</v>
      </c>
      <c r="AA12" s="106">
        <f t="shared" si="6"/>
        <v>0</v>
      </c>
      <c r="AB12" s="106">
        <f t="shared" si="7"/>
        <v>0</v>
      </c>
      <c r="AC12" s="106">
        <f t="shared" si="8"/>
        <v>61.989933654950846</v>
      </c>
      <c r="AD12" s="107">
        <f t="shared" si="9"/>
        <v>60.737259837161119</v>
      </c>
      <c r="AE12" s="105">
        <f t="shared" si="10"/>
        <v>-65.958128747821902</v>
      </c>
      <c r="AF12" s="108">
        <f t="shared" si="11"/>
        <v>18.017168244649138</v>
      </c>
      <c r="AG12" s="88"/>
      <c r="AH12" s="110"/>
      <c r="AI12" s="110"/>
      <c r="AJ12" s="88"/>
      <c r="AK12" s="88"/>
    </row>
    <row r="13" spans="8:37" ht="16.5" x14ac:dyDescent="0.3">
      <c r="H13" s="103">
        <v>7</v>
      </c>
      <c r="I13" s="166" t="s">
        <v>54</v>
      </c>
      <c r="J13" s="167"/>
      <c r="K13" s="96">
        <v>0</v>
      </c>
      <c r="L13" s="97">
        <v>-1</v>
      </c>
      <c r="M13" s="97">
        <v>0</v>
      </c>
      <c r="N13" s="97">
        <v>0</v>
      </c>
      <c r="O13" s="97">
        <v>1</v>
      </c>
      <c r="P13" s="97">
        <v>0</v>
      </c>
      <c r="Q13" s="97">
        <v>0</v>
      </c>
      <c r="R13" s="97">
        <v>0</v>
      </c>
      <c r="S13" s="97">
        <v>-2</v>
      </c>
      <c r="T13" s="98">
        <v>0</v>
      </c>
      <c r="U13" s="105">
        <f t="shared" si="0"/>
        <v>0</v>
      </c>
      <c r="V13" s="106">
        <f t="shared" si="1"/>
        <v>49.390399060668571</v>
      </c>
      <c r="W13" s="106">
        <f t="shared" si="2"/>
        <v>0</v>
      </c>
      <c r="X13" s="106">
        <f t="shared" si="3"/>
        <v>0</v>
      </c>
      <c r="Y13" s="106">
        <f t="shared" ca="1" si="4"/>
        <v>-223.50437289377365</v>
      </c>
      <c r="Z13" s="106">
        <f t="shared" si="5"/>
        <v>0</v>
      </c>
      <c r="AA13" s="106">
        <f t="shared" si="6"/>
        <v>0</v>
      </c>
      <c r="AB13" s="106">
        <f t="shared" si="7"/>
        <v>0</v>
      </c>
      <c r="AC13" s="106">
        <f t="shared" si="8"/>
        <v>82.653244873267795</v>
      </c>
      <c r="AD13" s="107">
        <f t="shared" si="9"/>
        <v>0</v>
      </c>
      <c r="AE13" s="105">
        <f t="shared" ca="1" si="10"/>
        <v>-91.460728959837297</v>
      </c>
      <c r="AF13" s="108">
        <f t="shared" ca="1" si="11"/>
        <v>24.983476225469158</v>
      </c>
      <c r="AG13" s="88"/>
      <c r="AH13" s="110"/>
      <c r="AI13" s="110"/>
      <c r="AJ13" s="88"/>
      <c r="AK13" s="88"/>
    </row>
    <row r="14" spans="8:37" ht="16.5" x14ac:dyDescent="0.3">
      <c r="H14" s="103">
        <v>8</v>
      </c>
      <c r="I14" s="166" t="s">
        <v>55</v>
      </c>
      <c r="J14" s="167"/>
      <c r="K14" s="96">
        <v>0</v>
      </c>
      <c r="L14" s="97">
        <v>0</v>
      </c>
      <c r="M14" s="97">
        <v>0</v>
      </c>
      <c r="N14" s="97">
        <v>0</v>
      </c>
      <c r="O14" s="97">
        <v>1</v>
      </c>
      <c r="P14" s="97">
        <v>-2</v>
      </c>
      <c r="Q14" s="97">
        <v>0</v>
      </c>
      <c r="R14" s="97">
        <v>0</v>
      </c>
      <c r="S14" s="97">
        <v>1</v>
      </c>
      <c r="T14" s="98">
        <v>1</v>
      </c>
      <c r="U14" s="105">
        <f t="shared" si="0"/>
        <v>0</v>
      </c>
      <c r="V14" s="106">
        <f t="shared" si="1"/>
        <v>0</v>
      </c>
      <c r="W14" s="106">
        <f t="shared" si="2"/>
        <v>0</v>
      </c>
      <c r="X14" s="106">
        <f t="shared" si="3"/>
        <v>0</v>
      </c>
      <c r="Y14" s="106">
        <f t="shared" ca="1" si="4"/>
        <v>-223.50437289377365</v>
      </c>
      <c r="Z14" s="106">
        <f t="shared" si="5"/>
        <v>426.76104354053632</v>
      </c>
      <c r="AA14" s="106">
        <f t="shared" si="6"/>
        <v>0</v>
      </c>
      <c r="AB14" s="106">
        <f t="shared" si="7"/>
        <v>0</v>
      </c>
      <c r="AC14" s="106">
        <f t="shared" si="8"/>
        <v>-41.326622436633897</v>
      </c>
      <c r="AD14" s="107">
        <f t="shared" si="9"/>
        <v>-121.47451967432224</v>
      </c>
      <c r="AE14" s="105">
        <f t="shared" ca="1" si="10"/>
        <v>40.455528535806536</v>
      </c>
      <c r="AF14" s="108">
        <f t="shared" ca="1" si="11"/>
        <v>-11.050860263829124</v>
      </c>
      <c r="AG14" s="88"/>
      <c r="AH14" s="88"/>
      <c r="AI14" s="88"/>
      <c r="AJ14" s="88"/>
      <c r="AK14" s="88"/>
    </row>
    <row r="15" spans="8:37" ht="16.5" x14ac:dyDescent="0.3">
      <c r="H15" s="103">
        <v>9</v>
      </c>
      <c r="I15" s="166" t="s">
        <v>56</v>
      </c>
      <c r="J15" s="167"/>
      <c r="K15" s="96">
        <v>0</v>
      </c>
      <c r="L15" s="97">
        <v>0</v>
      </c>
      <c r="M15" s="97">
        <v>0</v>
      </c>
      <c r="N15" s="97">
        <v>-1</v>
      </c>
      <c r="O15" s="97">
        <v>1</v>
      </c>
      <c r="P15" s="97">
        <v>0</v>
      </c>
      <c r="Q15" s="97">
        <v>0</v>
      </c>
      <c r="R15" s="97">
        <v>0</v>
      </c>
      <c r="S15" s="97">
        <v>-0.5</v>
      </c>
      <c r="T15" s="98">
        <v>-1</v>
      </c>
      <c r="U15" s="105">
        <f t="shared" si="0"/>
        <v>0</v>
      </c>
      <c r="V15" s="106">
        <f t="shared" si="1"/>
        <v>0</v>
      </c>
      <c r="W15" s="106">
        <f t="shared" si="2"/>
        <v>0</v>
      </c>
      <c r="X15" s="106">
        <f t="shared" ca="1" si="3"/>
        <v>63.172251419288415</v>
      </c>
      <c r="Y15" s="106">
        <f t="shared" ca="1" si="4"/>
        <v>-223.50437289377365</v>
      </c>
      <c r="Z15" s="106">
        <f t="shared" si="5"/>
        <v>0</v>
      </c>
      <c r="AA15" s="106">
        <f t="shared" si="6"/>
        <v>0</v>
      </c>
      <c r="AB15" s="106">
        <f t="shared" si="7"/>
        <v>0</v>
      </c>
      <c r="AC15" s="106">
        <f t="shared" si="8"/>
        <v>20.663311218316949</v>
      </c>
      <c r="AD15" s="107">
        <f t="shared" si="9"/>
        <v>121.47451967432224</v>
      </c>
      <c r="AE15" s="105">
        <f t="shared" ca="1" si="10"/>
        <v>-18.194290581846047</v>
      </c>
      <c r="AF15" s="108">
        <f t="shared" ca="1" si="11"/>
        <v>4.9699650479544646</v>
      </c>
      <c r="AG15" s="88"/>
      <c r="AH15" s="110"/>
      <c r="AI15" s="110"/>
      <c r="AJ15" s="88"/>
      <c r="AK15" s="88"/>
    </row>
    <row r="16" spans="8:37" ht="16.5" x14ac:dyDescent="0.3">
      <c r="H16" s="103">
        <v>10</v>
      </c>
      <c r="I16" s="166" t="s">
        <v>57</v>
      </c>
      <c r="J16" s="167"/>
      <c r="K16" s="96">
        <v>0</v>
      </c>
      <c r="L16" s="97">
        <v>0</v>
      </c>
      <c r="M16" s="97">
        <v>0</v>
      </c>
      <c r="N16" s="97">
        <v>-0.5</v>
      </c>
      <c r="O16" s="97">
        <v>0</v>
      </c>
      <c r="P16" s="97">
        <v>1</v>
      </c>
      <c r="Q16" s="97">
        <v>0</v>
      </c>
      <c r="R16" s="97">
        <v>0</v>
      </c>
      <c r="S16" s="97">
        <v>-0.75</v>
      </c>
      <c r="T16" s="98">
        <v>-1</v>
      </c>
      <c r="U16" s="105">
        <f t="shared" si="0"/>
        <v>0</v>
      </c>
      <c r="V16" s="106">
        <f t="shared" si="1"/>
        <v>0</v>
      </c>
      <c r="W16" s="106">
        <f t="shared" si="2"/>
        <v>0</v>
      </c>
      <c r="X16" s="106">
        <f t="shared" ca="1" si="3"/>
        <v>31.586125709644207</v>
      </c>
      <c r="Y16" s="106">
        <f t="shared" si="4"/>
        <v>0</v>
      </c>
      <c r="Z16" s="106">
        <f t="shared" si="5"/>
        <v>-213.38052177026816</v>
      </c>
      <c r="AA16" s="106">
        <f t="shared" si="6"/>
        <v>0</v>
      </c>
      <c r="AB16" s="106">
        <f t="shared" si="7"/>
        <v>0</v>
      </c>
      <c r="AC16" s="106">
        <f t="shared" si="8"/>
        <v>30.994966827475423</v>
      </c>
      <c r="AD16" s="107">
        <f t="shared" si="9"/>
        <v>121.47451967432224</v>
      </c>
      <c r="AE16" s="105">
        <f t="shared" ca="1" si="10"/>
        <v>-29.324909558826306</v>
      </c>
      <c r="AF16" s="108">
        <f t="shared" ca="1" si="11"/>
        <v>8.0104126558917983</v>
      </c>
      <c r="AG16" s="88"/>
      <c r="AH16" s="110"/>
      <c r="AI16" s="110"/>
      <c r="AJ16" s="88"/>
      <c r="AK16" s="88"/>
    </row>
    <row r="17" spans="1:37" ht="16.5" x14ac:dyDescent="0.3">
      <c r="H17" s="103">
        <v>11</v>
      </c>
      <c r="I17" s="166" t="s">
        <v>117</v>
      </c>
      <c r="J17" s="167"/>
      <c r="K17" s="96">
        <v>0</v>
      </c>
      <c r="L17" s="97">
        <v>0</v>
      </c>
      <c r="M17" s="97">
        <v>0</v>
      </c>
      <c r="N17" s="97">
        <v>-1</v>
      </c>
      <c r="O17" s="97">
        <v>0</v>
      </c>
      <c r="P17" s="97">
        <v>0</v>
      </c>
      <c r="Q17" s="97">
        <v>1</v>
      </c>
      <c r="R17" s="97">
        <v>0</v>
      </c>
      <c r="S17" s="97">
        <v>-1</v>
      </c>
      <c r="T17" s="98">
        <v>-1</v>
      </c>
      <c r="U17" s="105">
        <f t="shared" si="0"/>
        <v>0</v>
      </c>
      <c r="V17" s="106">
        <f t="shared" si="1"/>
        <v>0</v>
      </c>
      <c r="W17" s="106">
        <f t="shared" si="2"/>
        <v>0</v>
      </c>
      <c r="X17" s="106">
        <f t="shared" ca="1" si="3"/>
        <v>63.172251419288415</v>
      </c>
      <c r="Y17" s="106">
        <f t="shared" si="4"/>
        <v>0</v>
      </c>
      <c r="Z17" s="106">
        <f t="shared" si="5"/>
        <v>0</v>
      </c>
      <c r="AA17" s="106">
        <f t="shared" si="6"/>
        <v>-263.16748613859653</v>
      </c>
      <c r="AB17" s="106">
        <f t="shared" si="7"/>
        <v>0</v>
      </c>
      <c r="AC17" s="106">
        <f t="shared" si="8"/>
        <v>41.326622436633897</v>
      </c>
      <c r="AD17" s="107">
        <f t="shared" si="9"/>
        <v>121.47451967432224</v>
      </c>
      <c r="AE17" s="105">
        <f t="shared" ca="1" si="10"/>
        <v>-37.19409260835198</v>
      </c>
      <c r="AF17" s="108">
        <f t="shared" ca="1" si="11"/>
        <v>10.159964161413052</v>
      </c>
      <c r="AG17" s="88"/>
      <c r="AH17" s="88"/>
      <c r="AI17" s="88"/>
      <c r="AJ17" s="88"/>
      <c r="AK17" s="88"/>
    </row>
    <row r="18" spans="1:37" ht="16.5" x14ac:dyDescent="0.3">
      <c r="H18" s="103">
        <v>12</v>
      </c>
      <c r="I18" s="166" t="s">
        <v>118</v>
      </c>
      <c r="J18" s="167"/>
      <c r="K18" s="96">
        <v>0</v>
      </c>
      <c r="L18" s="97">
        <v>0</v>
      </c>
      <c r="M18" s="97">
        <v>0</v>
      </c>
      <c r="N18" s="97">
        <v>0</v>
      </c>
      <c r="O18" s="97">
        <v>0</v>
      </c>
      <c r="P18" s="97">
        <v>1</v>
      </c>
      <c r="Q18" s="97">
        <v>-0.5</v>
      </c>
      <c r="R18" s="97">
        <v>0</v>
      </c>
      <c r="S18" s="97">
        <v>-0.25</v>
      </c>
      <c r="T18" s="98">
        <v>-0.5</v>
      </c>
      <c r="U18" s="105">
        <f t="shared" si="0"/>
        <v>0</v>
      </c>
      <c r="V18" s="106">
        <f t="shared" si="1"/>
        <v>0</v>
      </c>
      <c r="W18" s="106">
        <f t="shared" si="2"/>
        <v>0</v>
      </c>
      <c r="X18" s="106">
        <f t="shared" si="3"/>
        <v>0</v>
      </c>
      <c r="Y18" s="106">
        <f t="shared" si="4"/>
        <v>0</v>
      </c>
      <c r="Z18" s="106">
        <f t="shared" si="5"/>
        <v>-213.38052177026816</v>
      </c>
      <c r="AA18" s="106">
        <f t="shared" si="6"/>
        <v>131.58374306929827</v>
      </c>
      <c r="AB18" s="106">
        <f t="shared" si="7"/>
        <v>0</v>
      </c>
      <c r="AC18" s="106">
        <f t="shared" si="8"/>
        <v>10.331655609158474</v>
      </c>
      <c r="AD18" s="107">
        <f t="shared" si="9"/>
        <v>60.737259837161119</v>
      </c>
      <c r="AE18" s="105">
        <f t="shared" si="10"/>
        <v>-10.727863254650302</v>
      </c>
      <c r="AF18" s="108">
        <f t="shared" si="11"/>
        <v>2.9304305751852686</v>
      </c>
      <c r="AG18" s="88"/>
      <c r="AH18" s="110"/>
      <c r="AI18" s="110"/>
      <c r="AJ18" s="88"/>
      <c r="AK18" s="88"/>
    </row>
    <row r="19" spans="1:37" ht="16.5" x14ac:dyDescent="0.3">
      <c r="H19" s="103">
        <v>13</v>
      </c>
      <c r="I19" s="166" t="s">
        <v>58</v>
      </c>
      <c r="J19" s="167"/>
      <c r="K19" s="96">
        <v>0</v>
      </c>
      <c r="L19" s="97">
        <v>0</v>
      </c>
      <c r="M19" s="97">
        <v>0</v>
      </c>
      <c r="N19" s="97">
        <v>1</v>
      </c>
      <c r="O19" s="97">
        <v>0</v>
      </c>
      <c r="P19" s="97">
        <v>0</v>
      </c>
      <c r="Q19" s="97">
        <v>0</v>
      </c>
      <c r="R19" s="97">
        <v>-2</v>
      </c>
      <c r="S19" s="97">
        <v>0.5</v>
      </c>
      <c r="T19" s="98">
        <v>0</v>
      </c>
      <c r="U19" s="105">
        <f t="shared" si="0"/>
        <v>0</v>
      </c>
      <c r="V19" s="106">
        <f t="shared" si="1"/>
        <v>0</v>
      </c>
      <c r="W19" s="106">
        <f t="shared" si="2"/>
        <v>0</v>
      </c>
      <c r="X19" s="106">
        <f t="shared" ca="1" si="3"/>
        <v>-63.172251419288415</v>
      </c>
      <c r="Y19" s="106">
        <f t="shared" si="4"/>
        <v>0</v>
      </c>
      <c r="Z19" s="106">
        <f t="shared" si="5"/>
        <v>0</v>
      </c>
      <c r="AA19" s="106">
        <f t="shared" si="6"/>
        <v>0</v>
      </c>
      <c r="AB19" s="106">
        <f t="shared" si="7"/>
        <v>97.305811209101051</v>
      </c>
      <c r="AC19" s="106">
        <f t="shared" si="8"/>
        <v>-20.663311218316949</v>
      </c>
      <c r="AD19" s="107">
        <f t="shared" si="9"/>
        <v>0</v>
      </c>
      <c r="AE19" s="105">
        <f t="shared" ca="1" si="10"/>
        <v>13.470248571495688</v>
      </c>
      <c r="AF19" s="108">
        <f t="shared" ca="1" si="11"/>
        <v>-3.6795424524213307</v>
      </c>
      <c r="AG19" s="88"/>
      <c r="AH19" s="110"/>
      <c r="AI19" s="110"/>
      <c r="AJ19" s="88"/>
      <c r="AK19" s="88"/>
    </row>
    <row r="20" spans="1:37" ht="16.5" x14ac:dyDescent="0.3">
      <c r="H20" s="111">
        <v>14</v>
      </c>
      <c r="I20" s="181" t="s">
        <v>119</v>
      </c>
      <c r="J20" s="182"/>
      <c r="K20" s="113">
        <v>0</v>
      </c>
      <c r="L20" s="114">
        <v>0</v>
      </c>
      <c r="M20" s="114">
        <v>0</v>
      </c>
      <c r="N20" s="114">
        <v>0</v>
      </c>
      <c r="O20" s="114">
        <v>0</v>
      </c>
      <c r="P20" s="114">
        <v>0</v>
      </c>
      <c r="Q20" s="114">
        <v>1</v>
      </c>
      <c r="R20" s="114">
        <v>-2</v>
      </c>
      <c r="S20" s="114">
        <v>-0.5</v>
      </c>
      <c r="T20" s="115">
        <v>-1</v>
      </c>
      <c r="U20" s="116">
        <f t="shared" si="0"/>
        <v>0</v>
      </c>
      <c r="V20" s="117">
        <f t="shared" si="1"/>
        <v>0</v>
      </c>
      <c r="W20" s="117">
        <f t="shared" si="2"/>
        <v>0</v>
      </c>
      <c r="X20" s="117">
        <f t="shared" si="3"/>
        <v>0</v>
      </c>
      <c r="Y20" s="117">
        <f t="shared" si="4"/>
        <v>0</v>
      </c>
      <c r="Z20" s="117">
        <f t="shared" si="5"/>
        <v>0</v>
      </c>
      <c r="AA20" s="117">
        <f t="shared" si="6"/>
        <v>-263.16748613859653</v>
      </c>
      <c r="AB20" s="117">
        <f t="shared" si="7"/>
        <v>97.305811209101051</v>
      </c>
      <c r="AC20" s="117">
        <f t="shared" si="8"/>
        <v>20.663311218316949</v>
      </c>
      <c r="AD20" s="118">
        <f t="shared" si="9"/>
        <v>121.47451967432224</v>
      </c>
      <c r="AE20" s="116">
        <f t="shared" si="10"/>
        <v>-23.723844036856292</v>
      </c>
      <c r="AF20" s="119">
        <f t="shared" si="11"/>
        <v>6.4804217089917202</v>
      </c>
      <c r="AG20" s="88"/>
      <c r="AH20" s="88"/>
      <c r="AI20" s="88"/>
      <c r="AJ20" s="88"/>
      <c r="AK20" s="88"/>
    </row>
    <row r="21" spans="1:37" ht="13.9" x14ac:dyDescent="0.25">
      <c r="AG21" s="88"/>
      <c r="AH21" s="110"/>
      <c r="AI21" s="110"/>
      <c r="AJ21" s="88"/>
      <c r="AK21" s="88"/>
    </row>
    <row r="22" spans="1:37" ht="13.9" x14ac:dyDescent="0.25">
      <c r="K22" s="120"/>
      <c r="L22" s="120"/>
      <c r="M22" s="120"/>
      <c r="N22" s="120"/>
      <c r="O22" s="120"/>
      <c r="P22" s="120"/>
      <c r="Q22" s="120"/>
      <c r="R22" s="120"/>
      <c r="Y22" s="120"/>
      <c r="Z22" s="120"/>
      <c r="AA22" s="120"/>
      <c r="AB22" s="120"/>
      <c r="AC22" s="120"/>
      <c r="AD22" s="120"/>
      <c r="AE22" s="120"/>
      <c r="AF22" s="120"/>
      <c r="AG22" s="88"/>
      <c r="AH22" s="110"/>
      <c r="AI22" s="110"/>
      <c r="AJ22" s="88"/>
    </row>
    <row r="23" spans="1:37" ht="13.9" x14ac:dyDescent="0.25">
      <c r="U23" s="121"/>
      <c r="V23" s="121"/>
      <c r="W23" s="121"/>
      <c r="X23" s="121"/>
      <c r="Z23" s="122"/>
      <c r="AA23" s="122"/>
      <c r="AB23" s="122"/>
      <c r="AC23" s="122"/>
      <c r="AD23" s="122"/>
      <c r="AE23" s="122"/>
      <c r="AG23" s="88"/>
      <c r="AH23" s="88"/>
      <c r="AI23" s="88"/>
      <c r="AJ23" s="88"/>
    </row>
    <row r="24" spans="1:37" ht="13.9" x14ac:dyDescent="0.25">
      <c r="G24" s="123"/>
      <c r="Z24" s="124"/>
      <c r="AD24" s="120"/>
      <c r="AE24" s="120"/>
      <c r="AG24" s="88"/>
      <c r="AH24" s="110"/>
      <c r="AI24" s="110"/>
      <c r="AJ24" s="88"/>
    </row>
    <row r="25" spans="1:37" ht="13.9" x14ac:dyDescent="0.25">
      <c r="Z25" s="124"/>
      <c r="AG25" s="88"/>
      <c r="AH25" s="110"/>
      <c r="AI25" s="110"/>
      <c r="AJ25" s="88"/>
    </row>
    <row r="26" spans="1:37" ht="13.9" x14ac:dyDescent="0.25">
      <c r="A26" s="87" t="s">
        <v>78</v>
      </c>
      <c r="B26" s="87"/>
      <c r="C26" s="125"/>
      <c r="D26" s="87"/>
      <c r="E26" s="123"/>
      <c r="F26" s="87"/>
      <c r="H26" s="84" t="s">
        <v>79</v>
      </c>
      <c r="R26" s="84" t="s">
        <v>80</v>
      </c>
      <c r="U26" s="84" t="s">
        <v>81</v>
      </c>
      <c r="Y26" s="84" t="s">
        <v>82</v>
      </c>
      <c r="Z26" s="120"/>
      <c r="AC26" s="84" t="s">
        <v>83</v>
      </c>
      <c r="AG26" s="88"/>
      <c r="AH26" s="88"/>
      <c r="AI26" s="88"/>
      <c r="AJ26" s="88"/>
    </row>
    <row r="27" spans="1:37" ht="17.25" x14ac:dyDescent="0.3">
      <c r="A27" s="91" t="s">
        <v>16</v>
      </c>
      <c r="B27" s="89" t="s">
        <v>17</v>
      </c>
      <c r="C27" s="126" t="s">
        <v>70</v>
      </c>
      <c r="D27" s="127" t="s">
        <v>71</v>
      </c>
      <c r="E27" s="127" t="s">
        <v>72</v>
      </c>
      <c r="F27" s="128" t="s">
        <v>73</v>
      </c>
      <c r="H27" s="91" t="s">
        <v>122</v>
      </c>
      <c r="I27" s="129" t="s">
        <v>18</v>
      </c>
      <c r="J27" s="130"/>
      <c r="K27" s="130"/>
      <c r="L27" s="130"/>
      <c r="M27" s="130"/>
      <c r="N27" s="89" t="s">
        <v>89</v>
      </c>
      <c r="O27" s="89" t="s">
        <v>90</v>
      </c>
      <c r="P27" s="90" t="s">
        <v>96</v>
      </c>
      <c r="R27" s="183" t="s">
        <v>21</v>
      </c>
      <c r="S27" s="184"/>
      <c r="U27" s="178" t="s">
        <v>22</v>
      </c>
      <c r="V27" s="176"/>
      <c r="W27" s="177"/>
      <c r="Y27" s="178" t="s">
        <v>23</v>
      </c>
      <c r="Z27" s="176"/>
      <c r="AA27" s="177"/>
      <c r="AC27" s="131" t="s">
        <v>122</v>
      </c>
      <c r="AD27" s="176" t="s">
        <v>21</v>
      </c>
      <c r="AE27" s="176"/>
      <c r="AF27" s="133" t="s">
        <v>89</v>
      </c>
      <c r="AG27" s="132" t="s">
        <v>90</v>
      </c>
      <c r="AI27" s="110"/>
      <c r="AJ27" s="88"/>
    </row>
    <row r="28" spans="1:37" ht="18" x14ac:dyDescent="0.35">
      <c r="A28" s="134">
        <v>1</v>
      </c>
      <c r="B28" s="135" t="s">
        <v>0</v>
      </c>
      <c r="C28" s="136">
        <f>VLOOKUP($B28,'Cu calculations'!$Y$12:$AC$46,2,FALSE)</f>
        <v>6.5596864342689516</v>
      </c>
      <c r="D28" s="136">
        <f>VLOOKUP($B28,'Cu calculations'!$Y$12:$AC$46,3,FALSE)</f>
        <v>0.60800037669702733</v>
      </c>
      <c r="E28" s="136">
        <f>VLOOKUP($B28,'Cu calculations'!$Y$12:$AC$46,4,FALSE)</f>
        <v>9.6761695882350753E-3</v>
      </c>
      <c r="F28" s="137">
        <f>VLOOKUP($B28,'Cu calculations'!$Y$12:$AC$46,5,FALSE)</f>
        <v>-7.1329352938910331</v>
      </c>
      <c r="H28" s="138">
        <v>2</v>
      </c>
      <c r="I28" s="95" t="str">
        <f>VLOOKUP(H28,$H$7:$J$20,2,FALSE)</f>
        <v>2 Cu +  SO₂(g) = O₂(g) + Cu₂S</v>
      </c>
      <c r="J28" s="139"/>
      <c r="K28" s="179" t="s">
        <v>98</v>
      </c>
      <c r="L28" s="179"/>
      <c r="M28" s="179"/>
      <c r="N28" s="140">
        <v>1</v>
      </c>
      <c r="O28" s="140">
        <v>-1</v>
      </c>
      <c r="P28" s="73">
        <f>VLOOKUP(H28,$H$7:$AF$20,25,FALSE)</f>
        <v>-12.298614672313652</v>
      </c>
      <c r="R28" s="141" t="s">
        <v>109</v>
      </c>
      <c r="S28" s="142" cm="1">
        <f t="array" aca="1" ref="S28:S29" ca="1">MMULT(MINVERSE(N28:O29),P28:P29)</f>
        <v>-15.429793010402065</v>
      </c>
      <c r="T28" s="143"/>
      <c r="U28" s="144" t="s">
        <v>17</v>
      </c>
      <c r="V28" s="133" t="s">
        <v>89</v>
      </c>
      <c r="W28" s="132" t="s">
        <v>90</v>
      </c>
      <c r="Y28" s="145"/>
      <c r="Z28" s="89" t="s">
        <v>89</v>
      </c>
      <c r="AA28" s="90" t="s">
        <v>90</v>
      </c>
      <c r="AC28" s="103">
        <v>1</v>
      </c>
      <c r="AD28" s="185" t="s">
        <v>91</v>
      </c>
      <c r="AE28" s="186"/>
      <c r="AF28" s="106">
        <f>Z30</f>
        <v>-20</v>
      </c>
      <c r="AG28" s="107">
        <f ca="1">AF28+$AF$7</f>
        <v>-0.8792777449501159</v>
      </c>
      <c r="AI28" s="110"/>
      <c r="AJ28" s="88"/>
    </row>
    <row r="29" spans="1:37" ht="18" x14ac:dyDescent="0.35">
      <c r="A29" s="134">
        <v>2</v>
      </c>
      <c r="B29" s="146" t="s">
        <v>39</v>
      </c>
      <c r="C29" s="136">
        <f>VLOOKUP($B29,'Cu calculations'!$Y$12:$AC$46,2,FALSE)</f>
        <v>20.320028305053711</v>
      </c>
      <c r="D29" s="136">
        <f>VLOOKUP($B29,'Cu calculations'!$Y$12:$AC$46,3,FALSE)</f>
        <v>-6.8613438753633718</v>
      </c>
      <c r="E29" s="136">
        <f>VLOOKUP($B29,'Cu calculations'!$Y$12:$AC$46,4,FALSE)</f>
        <v>5.3161318981631497E-2</v>
      </c>
      <c r="F29" s="137">
        <f>VLOOKUP($B29,'Cu calculations'!$Y$12:$AC$46,5,FALSE)</f>
        <v>-49.390399060668571</v>
      </c>
      <c r="H29" s="147">
        <v>5</v>
      </c>
      <c r="I29" s="112" t="str">
        <f t="shared" ref="I29:I41" si="12">VLOOKUP(H29,$H$7:$J$20,2,FALSE)</f>
        <v>Cu₂O + SO₂(g) =  1.5 O₂(g) + Cu₂S</v>
      </c>
      <c r="J29" s="148"/>
      <c r="K29" s="180" t="s">
        <v>99</v>
      </c>
      <c r="L29" s="180"/>
      <c r="M29" s="180"/>
      <c r="N29" s="149">
        <v>1.5</v>
      </c>
      <c r="O29" s="149">
        <v>-1</v>
      </c>
      <c r="P29" s="79">
        <f t="shared" ref="P29:P41" ca="1" si="13">VLOOKUP(H29,$H$7:$AF$20,25,FALSE)</f>
        <v>-20.013511177514687</v>
      </c>
      <c r="R29" s="85" t="s">
        <v>110</v>
      </c>
      <c r="S29" s="150">
        <f ca="1"/>
        <v>-3.1311783380884179</v>
      </c>
      <c r="T29" s="143"/>
      <c r="U29" s="141" t="s">
        <v>0</v>
      </c>
      <c r="V29" s="151">
        <f ca="1">AVERAGE(AF31:AF32)</f>
        <v>-17.714896505201033</v>
      </c>
      <c r="W29" s="142">
        <f ca="1">AVERAGE(AG31:AG32)</f>
        <v>-5.4162818328873801</v>
      </c>
      <c r="Y29" s="141" t="s">
        <v>11</v>
      </c>
      <c r="Z29" s="130">
        <v>2</v>
      </c>
      <c r="AA29" s="83">
        <v>20</v>
      </c>
      <c r="AC29" s="103"/>
      <c r="AD29" s="188"/>
      <c r="AE29" s="189"/>
      <c r="AF29" s="106">
        <f ca="1">S34</f>
        <v>-13.78876468608704</v>
      </c>
      <c r="AG29" s="107">
        <f ca="1">AF29+$AF$7</f>
        <v>5.331957568962844</v>
      </c>
      <c r="AI29" s="88"/>
      <c r="AJ29" s="88"/>
    </row>
    <row r="30" spans="1:37" ht="18" x14ac:dyDescent="0.35">
      <c r="A30" s="134">
        <v>3</v>
      </c>
      <c r="B30" s="146" t="s">
        <v>1</v>
      </c>
      <c r="C30" s="136">
        <f ca="1">VLOOKUP($B30,'Cu calculations'!$Y$12:$AC$46,2,FALSE)</f>
        <v>14.208573759049177</v>
      </c>
      <c r="D30" s="136">
        <f ca="1">VLOOKUP($B30,'Cu calculations'!$Y$12:$AC$46,3,FALSE)</f>
        <v>-6.9241984628465438</v>
      </c>
      <c r="E30" s="136">
        <f ca="1">VLOOKUP($B30,'Cu calculations'!$Y$12:$AC$46,4,FALSE)</f>
        <v>2.855739140633198E-2</v>
      </c>
      <c r="F30" s="137">
        <f ca="1">VLOOKUP($B30,'Cu calculations'!$Y$12:$AC$46,5,FALSE)</f>
        <v>-29.770111587912126</v>
      </c>
      <c r="H30" s="94">
        <v>5</v>
      </c>
      <c r="I30" s="95" t="str">
        <f t="shared" si="12"/>
        <v>Cu₂O + SO₂(g) =  1.5 O₂(g) + Cu₂S</v>
      </c>
      <c r="J30" s="139"/>
      <c r="K30" s="179" t="s">
        <v>99</v>
      </c>
      <c r="L30" s="179"/>
      <c r="M30" s="179"/>
      <c r="N30" s="140">
        <v>1.5</v>
      </c>
      <c r="O30" s="140">
        <v>-1</v>
      </c>
      <c r="P30" s="73">
        <f t="shared" ca="1" si="13"/>
        <v>-20.013511177514687</v>
      </c>
      <c r="R30" s="141" t="s">
        <v>109</v>
      </c>
      <c r="S30" s="142" cm="1">
        <f t="array" aca="1" ref="S30:S31" ca="1">MMULT(MINVERSE(N30:O31),P30:P31)</f>
        <v>-12.491738112734575</v>
      </c>
      <c r="T30" s="143"/>
      <c r="U30" s="152" t="s">
        <v>1</v>
      </c>
      <c r="V30" s="143">
        <f ca="1">AVERAGE(AF28:AF29)</f>
        <v>-16.894382343043521</v>
      </c>
      <c r="W30" s="153">
        <f ca="1">AVERAGE(AG28:AG29)</f>
        <v>2.2263399120063641</v>
      </c>
      <c r="Y30" s="85" t="s">
        <v>12</v>
      </c>
      <c r="Z30" s="154">
        <v>-20</v>
      </c>
      <c r="AA30" s="86">
        <v>-10</v>
      </c>
      <c r="AC30" s="103"/>
      <c r="AD30" s="188"/>
      <c r="AE30" s="189"/>
      <c r="AF30" s="106"/>
      <c r="AG30" s="107"/>
      <c r="AJ30" s="88"/>
    </row>
    <row r="31" spans="1:37" ht="16.5" x14ac:dyDescent="0.3">
      <c r="A31" s="134">
        <v>4</v>
      </c>
      <c r="B31" s="146" t="s">
        <v>40</v>
      </c>
      <c r="C31" s="136">
        <f>VLOOKUP($B31,'Cu calculations'!$Y$12:$AC$46,2,FALSE)</f>
        <v>18.550559693779796</v>
      </c>
      <c r="D31" s="136">
        <f ca="1">VLOOKUP($B31,'Cu calculations'!$Y$12:$AC$46,3,FALSE)</f>
        <v>-32.193324868523298</v>
      </c>
      <c r="E31" s="136">
        <f ca="1">VLOOKUP($B31,'Cu calculations'!$Y$12:$AC$46,4,FALSE)</f>
        <v>3.8723658188456397E-2</v>
      </c>
      <c r="F31" s="137">
        <f ca="1">VLOOKUP($B31,'Cu calculations'!$Y$12:$AC$46,5,FALSE)</f>
        <v>-63.172251419288415</v>
      </c>
      <c r="H31" s="111">
        <v>9</v>
      </c>
      <c r="I31" s="112" t="str">
        <f t="shared" si="12"/>
        <v>Cu₂O + 0.5 O₂(g) +  SO₂(g) = Cu2SO₄</v>
      </c>
      <c r="J31" s="148"/>
      <c r="K31" s="180" t="s">
        <v>100</v>
      </c>
      <c r="L31" s="180"/>
      <c r="M31" s="180"/>
      <c r="N31" s="149">
        <v>-0.5</v>
      </c>
      <c r="O31" s="149">
        <v>-1</v>
      </c>
      <c r="P31" s="79">
        <f t="shared" ca="1" si="13"/>
        <v>4.9699650479544646</v>
      </c>
      <c r="R31" s="152" t="s">
        <v>110</v>
      </c>
      <c r="S31" s="153">
        <f ca="1"/>
        <v>1.275904008412823</v>
      </c>
      <c r="T31" s="143"/>
      <c r="U31" s="152" t="s">
        <v>39</v>
      </c>
      <c r="V31" s="143">
        <f ca="1">AVERAGE(AF37:AF38)</f>
        <v>-12.326764272241954</v>
      </c>
      <c r="W31" s="153">
        <f ca="1">AVERAGE(AG37:AG38)</f>
        <v>1.1934170881665125</v>
      </c>
      <c r="Z31" s="120"/>
      <c r="AC31" s="103">
        <v>2</v>
      </c>
      <c r="AD31" s="188" t="s">
        <v>92</v>
      </c>
      <c r="AE31" s="189"/>
      <c r="AF31" s="106">
        <f>Z30</f>
        <v>-20</v>
      </c>
      <c r="AG31" s="107">
        <f>AF31-$AF$8</f>
        <v>-7.7013853276863475</v>
      </c>
      <c r="AI31" s="88"/>
      <c r="AJ31" s="88"/>
    </row>
    <row r="32" spans="1:37" ht="16.5" x14ac:dyDescent="0.3">
      <c r="A32" s="134">
        <v>5</v>
      </c>
      <c r="B32" s="146" t="s">
        <v>41</v>
      </c>
      <c r="C32" s="136">
        <f ca="1">VLOOKUP($B32,'Cu calculations'!$Y$12:$AC$46,2,FALSE)</f>
        <v>37.07999954223633</v>
      </c>
      <c r="D32" s="136">
        <f ca="1">VLOOKUP($B32,'Cu calculations'!$Y$12:$AC$46,3,FALSE)</f>
        <v>-163.15546725227739</v>
      </c>
      <c r="E32" s="136">
        <f ca="1">VLOOKUP($B32,'Cu calculations'!$Y$12:$AC$46,4,FALSE)</f>
        <v>7.5436132051870317E-2</v>
      </c>
      <c r="F32" s="137">
        <f ca="1">VLOOKUP($B32,'Cu calculations'!$Y$12:$AC$46,5,FALSE)</f>
        <v>-223.50437289377365</v>
      </c>
      <c r="H32" s="94">
        <v>6</v>
      </c>
      <c r="I32" s="95" t="str">
        <f t="shared" si="12"/>
        <v>0.5 Cu₂S + 1.5 O₂(g) + 0.5 SO₂(g) = CuSO₄</v>
      </c>
      <c r="J32" s="139"/>
      <c r="K32" s="179" t="s">
        <v>101</v>
      </c>
      <c r="L32" s="179"/>
      <c r="M32" s="179"/>
      <c r="N32" s="140">
        <v>-1.5</v>
      </c>
      <c r="O32" s="140">
        <v>-0.5</v>
      </c>
      <c r="P32" s="73">
        <f t="shared" si="13"/>
        <v>18.017168244649138</v>
      </c>
      <c r="R32" s="141" t="s">
        <v>109</v>
      </c>
      <c r="S32" s="142" cm="1">
        <f t="array" aca="1" ref="S32:S33" ca="1">MMULT(MINVERSE(N32:O33),P32:P33)</f>
        <v>-12.491738112734577</v>
      </c>
      <c r="T32" s="143"/>
      <c r="U32" s="152" t="s">
        <v>41</v>
      </c>
      <c r="V32" s="143">
        <f ca="1">AVERAGE(AF37:AF38)</f>
        <v>-12.326764272241954</v>
      </c>
      <c r="W32" s="153">
        <f ca="1">AVERAGE(AG37:AG38)</f>
        <v>1.1934170881665125</v>
      </c>
      <c r="Z32" s="120"/>
      <c r="AC32" s="103"/>
      <c r="AD32" s="188"/>
      <c r="AE32" s="189"/>
      <c r="AF32" s="106">
        <f ca="1">S28</f>
        <v>-15.429793010402065</v>
      </c>
      <c r="AG32" s="107">
        <f ca="1">AF32-$AF$8</f>
        <v>-3.1311783380884126</v>
      </c>
      <c r="AI32" s="88"/>
      <c r="AJ32" s="88"/>
    </row>
    <row r="33" spans="1:36" ht="16.5" x14ac:dyDescent="0.3">
      <c r="A33" s="134">
        <v>6</v>
      </c>
      <c r="B33" s="146" t="s">
        <v>42</v>
      </c>
      <c r="C33" s="136">
        <f>VLOOKUP($B33,'Cu calculations'!$Y$12:$AC$46,2,FALSE)</f>
        <v>35.299272502660749</v>
      </c>
      <c r="D33" s="136">
        <f>VLOOKUP($B33,'Cu calculations'!$Y$12:$AC$46,3,FALSE)</f>
        <v>-168.88235341487544</v>
      </c>
      <c r="E33" s="136">
        <f>VLOOKUP($B33,'Cu calculations'!$Y$12:$AC$46,4,FALSE)</f>
        <v>5.56227104442409E-2</v>
      </c>
      <c r="F33" s="137">
        <f>VLOOKUP($B33,'Cu calculations'!$Y$12:$AC$46,5,FALSE)</f>
        <v>-213.38052177026816</v>
      </c>
      <c r="H33" s="111">
        <v>8</v>
      </c>
      <c r="I33" s="112" t="str">
        <f t="shared" si="12"/>
        <v>2 CuSO₄ =  O₂(g) +  SO₂(g) + Cu₂SO₄</v>
      </c>
      <c r="J33" s="148"/>
      <c r="K33" s="180" t="s">
        <v>102</v>
      </c>
      <c r="L33" s="180"/>
      <c r="M33" s="180"/>
      <c r="N33" s="149">
        <v>1</v>
      </c>
      <c r="O33" s="149">
        <v>1</v>
      </c>
      <c r="P33" s="79">
        <f t="shared" ca="1" si="13"/>
        <v>-11.050860263829124</v>
      </c>
      <c r="R33" s="152" t="s">
        <v>110</v>
      </c>
      <c r="S33" s="153">
        <f ca="1"/>
        <v>1.4408778489054512</v>
      </c>
      <c r="T33" s="143"/>
      <c r="U33" s="152" t="s">
        <v>40</v>
      </c>
      <c r="V33" s="143">
        <f ca="1">AVERAGE(AF55:AF56)</f>
        <v>-7.9786454634638471</v>
      </c>
      <c r="W33" s="153">
        <f ca="1">AVERAGE(AG55:AG56)</f>
        <v>-2.1813186979492052</v>
      </c>
      <c r="Z33" s="120"/>
      <c r="AC33" s="103"/>
      <c r="AD33" s="188"/>
      <c r="AE33" s="189"/>
      <c r="AF33" s="135"/>
      <c r="AG33" s="155"/>
      <c r="AI33" s="88"/>
      <c r="AJ33" s="88"/>
    </row>
    <row r="34" spans="1:36" ht="16.5" x14ac:dyDescent="0.3">
      <c r="A34" s="134">
        <v>7</v>
      </c>
      <c r="B34" s="146" t="s">
        <v>120</v>
      </c>
      <c r="C34" s="136">
        <f>VLOOKUP($B34,'Cu calculations'!$Y$12:$AC$46,2,FALSE)</f>
        <v>48.314192621707917</v>
      </c>
      <c r="D34" s="136">
        <f>VLOOKUP($B34,'Cu calculations'!$Y$12:$AC$46,3,FALSE)</f>
        <v>-200.21179266576442</v>
      </c>
      <c r="E34" s="136">
        <f>VLOOKUP($B34,'Cu calculations'!$Y$12:$AC$46,4,FALSE)</f>
        <v>7.8694616841040108E-2</v>
      </c>
      <c r="F34" s="137">
        <f>VLOOKUP($B34,'Cu calculations'!$Y$12:$AC$46,5,FALSE)</f>
        <v>-263.16748613859653</v>
      </c>
      <c r="H34" s="94">
        <v>1</v>
      </c>
      <c r="I34" s="95" t="str">
        <f t="shared" si="12"/>
        <v>2 CuS +  O₂(g) = SO₂(g) + Cu₂S</v>
      </c>
      <c r="J34" s="139"/>
      <c r="K34" s="179" t="s">
        <v>103</v>
      </c>
      <c r="L34" s="179"/>
      <c r="M34" s="179"/>
      <c r="N34" s="140">
        <v>-1</v>
      </c>
      <c r="O34" s="140">
        <v>1</v>
      </c>
      <c r="P34" s="73">
        <f t="shared" ca="1" si="13"/>
        <v>19.120722255049884</v>
      </c>
      <c r="R34" s="141" t="s">
        <v>109</v>
      </c>
      <c r="S34" s="142" cm="1">
        <f t="array" aca="1" ref="S34:S35" ca="1">MMULT(MINVERSE(N34:O35),P34:P35)</f>
        <v>-13.78876468608704</v>
      </c>
      <c r="T34" s="143"/>
      <c r="U34" s="152" t="s">
        <v>42</v>
      </c>
      <c r="V34" s="143">
        <f ca="1">V33</f>
        <v>-7.9786454634638471</v>
      </c>
      <c r="W34" s="153">
        <f ca="1">W33</f>
        <v>-2.1813186979492052</v>
      </c>
      <c r="Z34" s="120"/>
      <c r="AC34" s="103">
        <v>3</v>
      </c>
      <c r="AD34" s="188" t="s">
        <v>93</v>
      </c>
      <c r="AE34" s="189"/>
      <c r="AF34" s="106">
        <f ca="1">$AF$9/$S$9</f>
        <v>-15.429793010402067</v>
      </c>
      <c r="AG34" s="155">
        <f>AA30</f>
        <v>-10</v>
      </c>
      <c r="AH34" s="163"/>
      <c r="AI34" s="88"/>
      <c r="AJ34" s="88"/>
    </row>
    <row r="35" spans="1:36" ht="16.5" x14ac:dyDescent="0.3">
      <c r="A35" s="156">
        <v>8</v>
      </c>
      <c r="B35" s="157" t="s">
        <v>2</v>
      </c>
      <c r="C35" s="78">
        <f>VLOOKUP($B35,'Cu calculations'!$Y$12:$AC$46,2,FALSE)</f>
        <v>12.709925919193775</v>
      </c>
      <c r="D35" s="78">
        <f>VLOOKUP($B35,'Cu calculations'!$Y$12:$AC$46,3,FALSE)</f>
        <v>-31.310382478481046</v>
      </c>
      <c r="E35" s="78">
        <f>VLOOKUP($B35,'Cu calculations'!$Y$12:$AC$46,4,FALSE)</f>
        <v>2.1678153907586848E-2</v>
      </c>
      <c r="F35" s="79">
        <f>VLOOKUP($B35,'Cu calculations'!$Y$12:$AC$46,5,FALSE)</f>
        <v>-48.652905604550526</v>
      </c>
      <c r="H35" s="111">
        <v>6</v>
      </c>
      <c r="I35" s="112" t="str">
        <f t="shared" si="12"/>
        <v>0.5 Cu₂S + 1.5 O₂(g) + 0.5 SO₂(g) = CuSO₄</v>
      </c>
      <c r="J35" s="148"/>
      <c r="K35" s="180" t="s">
        <v>101</v>
      </c>
      <c r="L35" s="180"/>
      <c r="M35" s="180"/>
      <c r="N35" s="149">
        <v>-1.5</v>
      </c>
      <c r="O35" s="149">
        <v>-0.5</v>
      </c>
      <c r="P35" s="79">
        <f t="shared" si="13"/>
        <v>18.017168244649138</v>
      </c>
      <c r="R35" s="85" t="s">
        <v>110</v>
      </c>
      <c r="S35" s="150">
        <f ca="1"/>
        <v>5.331957568962844</v>
      </c>
      <c r="T35" s="143"/>
      <c r="U35" s="152" t="s">
        <v>2</v>
      </c>
      <c r="V35" s="143">
        <f ca="1">AVERAGE(AF55:AG55)</f>
        <v>-5.0799820807065261</v>
      </c>
      <c r="W35" s="153">
        <f ca="1">AVERAGE(AF56:AG56)</f>
        <v>-5.0799820807065261</v>
      </c>
      <c r="Z35" s="120"/>
      <c r="AC35" s="103"/>
      <c r="AD35" s="188"/>
      <c r="AE35" s="189"/>
      <c r="AF35" s="106">
        <f ca="1">$AF$9/$S$9</f>
        <v>-15.429793010402067</v>
      </c>
      <c r="AG35" s="107">
        <f ca="1">S29</f>
        <v>-3.1311783380884179</v>
      </c>
      <c r="AI35" s="88"/>
      <c r="AJ35" s="88"/>
    </row>
    <row r="36" spans="1:36" ht="16.5" x14ac:dyDescent="0.3">
      <c r="A36" s="134" t="s">
        <v>10</v>
      </c>
      <c r="B36" s="146" t="s">
        <v>44</v>
      </c>
      <c r="C36" s="136">
        <f>VLOOKUP($B36,'Cu calculations'!$Y$12:$AC$46,2,FALSE)</f>
        <v>8.0648155651986606</v>
      </c>
      <c r="D36" s="136">
        <f>VLOOKUP($B36,'Cu calculations'!$Y$12:$AC$46,3,FALSE)</f>
        <v>3.7863140534984141</v>
      </c>
      <c r="E36" s="136">
        <f>VLOOKUP($B36,'Cu calculations'!$Y$12:$AC$46,4,FALSE)</f>
        <v>5.6391170612665388E-2</v>
      </c>
      <c r="F36" s="137">
        <f>VLOOKUP($B36,'Cu calculations'!$Y$12:$AC$46,5,FALSE)</f>
        <v>-41.326622436633897</v>
      </c>
      <c r="H36" s="94">
        <v>9</v>
      </c>
      <c r="I36" s="95" t="str">
        <f t="shared" si="12"/>
        <v>Cu₂O + 0.5 O₂(g) +  SO₂(g) = Cu2SO₄</v>
      </c>
      <c r="J36" s="139"/>
      <c r="K36" s="179" t="s">
        <v>100</v>
      </c>
      <c r="L36" s="179"/>
      <c r="M36" s="179"/>
      <c r="N36" s="140">
        <v>-0.5</v>
      </c>
      <c r="O36" s="140">
        <v>-1</v>
      </c>
      <c r="P36" s="73">
        <f t="shared" ca="1" si="13"/>
        <v>4.9699650479544646</v>
      </c>
      <c r="R36" s="152" t="s">
        <v>109</v>
      </c>
      <c r="S36" s="153" cm="1">
        <f t="array" aca="1" ref="S36:S37" ca="1">MMULT(MINVERSE(N36:O37),P36:P37)</f>
        <v>-12.161790431749331</v>
      </c>
      <c r="T36" s="143"/>
      <c r="U36" s="85" t="s">
        <v>120</v>
      </c>
      <c r="V36" s="158">
        <f ca="1">AF62</f>
        <v>-7.3590849048426641</v>
      </c>
      <c r="W36" s="150">
        <f ca="1">AG62</f>
        <v>-2.8008792565703882</v>
      </c>
      <c r="Z36" s="120"/>
      <c r="AC36" s="103"/>
      <c r="AD36" s="188"/>
      <c r="AE36" s="189"/>
      <c r="AF36" s="135"/>
      <c r="AG36" s="155"/>
      <c r="AI36" s="88"/>
      <c r="AJ36" s="88"/>
    </row>
    <row r="37" spans="1:36" ht="16.5" x14ac:dyDescent="0.3">
      <c r="A37" s="156" t="s">
        <v>9</v>
      </c>
      <c r="B37" s="157" t="s">
        <v>45</v>
      </c>
      <c r="C37" s="78">
        <f>VLOOKUP($B37,'Cu calculations'!$Y$12:$AC$46,2,FALSE)</f>
        <v>12.772137451767922</v>
      </c>
      <c r="D37" s="78">
        <f>VLOOKUP($B37,'Cu calculations'!$Y$12:$AC$46,3,FALSE)</f>
        <v>-65.204270706880095</v>
      </c>
      <c r="E37" s="78">
        <f>VLOOKUP($B37,'Cu calculations'!$Y$12:$AC$46,4,FALSE)</f>
        <v>7.0337811209302686E-2</v>
      </c>
      <c r="F37" s="79">
        <f>VLOOKUP($B37,'Cu calculations'!$Y$12:$AC$46,5,FALSE)</f>
        <v>-121.47451967432224</v>
      </c>
      <c r="H37" s="111">
        <v>10</v>
      </c>
      <c r="I37" s="112" t="str">
        <f t="shared" si="12"/>
        <v>0.5 Cu₂O + 0.75 O₂(g) +  SO₂(g) = CuSO₄</v>
      </c>
      <c r="J37" s="148"/>
      <c r="K37" s="180" t="s">
        <v>104</v>
      </c>
      <c r="L37" s="180"/>
      <c r="M37" s="180"/>
      <c r="N37" s="149">
        <v>-0.75</v>
      </c>
      <c r="O37" s="149">
        <v>-1</v>
      </c>
      <c r="P37" s="79">
        <f t="shared" ca="1" si="13"/>
        <v>8.0104126558917983</v>
      </c>
      <c r="R37" s="85" t="s">
        <v>110</v>
      </c>
      <c r="S37" s="150">
        <f ca="1"/>
        <v>1.1109301679202019</v>
      </c>
      <c r="T37" s="143"/>
      <c r="Z37" s="120"/>
      <c r="AC37" s="103">
        <v>4</v>
      </c>
      <c r="AD37" s="188" t="s">
        <v>94</v>
      </c>
      <c r="AE37" s="189"/>
      <c r="AF37" s="106">
        <f ca="1">S32</f>
        <v>-12.491738112734577</v>
      </c>
      <c r="AG37" s="107">
        <f ca="1">-0.5*AF37-$AF$15</f>
        <v>1.2759040084128239</v>
      </c>
    </row>
    <row r="38" spans="1:36" ht="16.5" x14ac:dyDescent="0.3">
      <c r="B38" s="88"/>
      <c r="C38" s="88"/>
      <c r="D38" s="88"/>
      <c r="E38" s="88"/>
      <c r="F38" s="88"/>
      <c r="H38" s="94">
        <v>11</v>
      </c>
      <c r="I38" s="95" t="str">
        <f t="shared" si="12"/>
        <v>Cu₂O + O₂(g) + SO₂(g) = CuO·CuSO₄</v>
      </c>
      <c r="J38" s="139"/>
      <c r="K38" s="179" t="s">
        <v>105</v>
      </c>
      <c r="L38" s="179"/>
      <c r="M38" s="179"/>
      <c r="N38" s="140">
        <v>-1</v>
      </c>
      <c r="O38" s="140">
        <v>-1</v>
      </c>
      <c r="P38" s="73">
        <f t="shared" ca="1" si="13"/>
        <v>10.159964161413052</v>
      </c>
      <c r="Q38" s="159"/>
      <c r="R38" s="152" t="s">
        <v>109</v>
      </c>
      <c r="S38" s="153" cm="1">
        <f t="array" aca="1" ref="S38:S39" ca="1">MMULT(MINVERSE(N38:O39),P38:P39)</f>
        <v>-8.59820602208503</v>
      </c>
      <c r="T38" s="143"/>
      <c r="AC38" s="103"/>
      <c r="AD38" s="188"/>
      <c r="AE38" s="189"/>
      <c r="AF38" s="106">
        <f ca="1">S36</f>
        <v>-12.161790431749331</v>
      </c>
      <c r="AG38" s="107">
        <f ca="1">-0.5*AF38-$AF$15</f>
        <v>1.1109301679202011</v>
      </c>
    </row>
    <row r="39" spans="1:36" ht="16.5" x14ac:dyDescent="0.3">
      <c r="C39" s="88"/>
      <c r="D39" s="88"/>
      <c r="E39" s="88"/>
      <c r="F39" s="88"/>
      <c r="H39" s="111">
        <v>12</v>
      </c>
      <c r="I39" s="112" t="str">
        <f t="shared" si="12"/>
        <v>0.5 CuO·CuSO₄ + 0.25 O₂(g) + 0.5 SO₂(g) = CuSO₄</v>
      </c>
      <c r="J39" s="148"/>
      <c r="K39" s="180" t="s">
        <v>106</v>
      </c>
      <c r="L39" s="180"/>
      <c r="M39" s="180"/>
      <c r="N39" s="149">
        <v>-0.25</v>
      </c>
      <c r="O39" s="149">
        <v>-0.5</v>
      </c>
      <c r="P39" s="79">
        <f t="shared" si="13"/>
        <v>2.9304305751852686</v>
      </c>
      <c r="Q39" s="159"/>
      <c r="R39" s="85" t="s">
        <v>110</v>
      </c>
      <c r="S39" s="150">
        <f ca="1"/>
        <v>-1.5617581393280222</v>
      </c>
      <c r="T39" s="143"/>
      <c r="AC39" s="103"/>
      <c r="AD39" s="188"/>
      <c r="AE39" s="189"/>
      <c r="AF39" s="135"/>
      <c r="AG39" s="155"/>
    </row>
    <row r="40" spans="1:36" ht="16.5" x14ac:dyDescent="0.3">
      <c r="H40" s="94">
        <v>11</v>
      </c>
      <c r="I40" s="95" t="str">
        <f t="shared" si="12"/>
        <v>Cu₂O + O₂(g) + SO₂(g) = CuO·CuSO₄</v>
      </c>
      <c r="J40" s="139"/>
      <c r="K40" s="179" t="s">
        <v>107</v>
      </c>
      <c r="L40" s="179"/>
      <c r="M40" s="179"/>
      <c r="N40" s="140">
        <v>-1</v>
      </c>
      <c r="O40" s="140">
        <v>-1</v>
      </c>
      <c r="P40" s="73">
        <f t="shared" ca="1" si="13"/>
        <v>10.159964161413052</v>
      </c>
      <c r="R40" s="152" t="s">
        <v>109</v>
      </c>
      <c r="S40" s="153" cm="1">
        <f t="array" aca="1" ref="S40:S41" ca="1">MMULT(MINVERSE(N40:O41),P40:P41)</f>
        <v>-7.3590849048426641</v>
      </c>
      <c r="T40" s="143"/>
      <c r="AC40" s="103">
        <v>5</v>
      </c>
      <c r="AD40" s="188" t="s">
        <v>95</v>
      </c>
      <c r="AE40" s="189"/>
      <c r="AF40" s="106">
        <f ca="1">S34</f>
        <v>-13.78876468608704</v>
      </c>
      <c r="AG40" s="107">
        <f ca="1">(-1.5*AF40-$AF$12)/0.5</f>
        <v>5.3319575689628422</v>
      </c>
    </row>
    <row r="41" spans="1:36" ht="16.5" x14ac:dyDescent="0.3">
      <c r="D41" s="120"/>
      <c r="H41" s="111">
        <v>14</v>
      </c>
      <c r="I41" s="112" t="str">
        <f t="shared" si="12"/>
        <v>2 CuO + 0.5 O₂(g) +  SO₂(g) = CuO·CuSO₄</v>
      </c>
      <c r="J41" s="148"/>
      <c r="K41" s="180" t="s">
        <v>108</v>
      </c>
      <c r="L41" s="180"/>
      <c r="M41" s="180"/>
      <c r="N41" s="149">
        <v>-0.5</v>
      </c>
      <c r="O41" s="149">
        <v>-1</v>
      </c>
      <c r="P41" s="79">
        <f t="shared" si="13"/>
        <v>6.4804217089917202</v>
      </c>
      <c r="Q41" s="135"/>
      <c r="R41" s="85" t="s">
        <v>110</v>
      </c>
      <c r="S41" s="150">
        <f ca="1"/>
        <v>-2.8008792565703882</v>
      </c>
      <c r="T41" s="143"/>
      <c r="AC41" s="103"/>
      <c r="AD41" s="188"/>
      <c r="AE41" s="189"/>
      <c r="AF41" s="106">
        <f ca="1">S32</f>
        <v>-12.491738112734577</v>
      </c>
      <c r="AG41" s="107">
        <f ca="1">(-1.5*AF41-$AF$12)/0.5</f>
        <v>1.4408778489054512</v>
      </c>
    </row>
    <row r="42" spans="1:36" x14ac:dyDescent="0.25">
      <c r="D42" s="120"/>
      <c r="E42" s="135"/>
      <c r="F42" s="135"/>
      <c r="G42" s="135"/>
      <c r="H42" s="135"/>
      <c r="I42" s="135"/>
      <c r="J42" s="135"/>
      <c r="K42" s="160"/>
      <c r="L42" s="160"/>
      <c r="M42" s="160"/>
      <c r="N42" s="160"/>
      <c r="O42" s="160"/>
      <c r="P42" s="160"/>
      <c r="Q42" s="160"/>
      <c r="AC42" s="103"/>
      <c r="AD42" s="188"/>
      <c r="AE42" s="189"/>
      <c r="AF42" s="135"/>
      <c r="AG42" s="155"/>
    </row>
    <row r="43" spans="1:36" x14ac:dyDescent="0.25">
      <c r="B43" s="161"/>
      <c r="C43" s="161"/>
      <c r="D43" s="120"/>
      <c r="E43" s="160"/>
      <c r="F43" s="160"/>
      <c r="G43" s="160"/>
      <c r="H43" s="160"/>
      <c r="I43" s="160"/>
      <c r="J43" s="160"/>
      <c r="K43" s="162"/>
      <c r="L43" s="162"/>
      <c r="M43" s="162"/>
      <c r="N43" s="162"/>
      <c r="O43" s="162"/>
      <c r="P43" s="162"/>
      <c r="Q43" s="162"/>
      <c r="AC43" s="103">
        <v>6</v>
      </c>
      <c r="AD43" s="188" t="s">
        <v>111</v>
      </c>
      <c r="AE43" s="189"/>
      <c r="AF43" s="106">
        <f ca="1">S32</f>
        <v>-12.491738112734577</v>
      </c>
      <c r="AG43" s="107">
        <f ca="1">$AF$14-AF43</f>
        <v>1.440877848905453</v>
      </c>
    </row>
    <row r="44" spans="1:36" x14ac:dyDescent="0.25">
      <c r="B44" s="120"/>
      <c r="C44" s="120"/>
      <c r="D44" s="120"/>
      <c r="H44" s="162"/>
      <c r="I44" s="162"/>
      <c r="J44" s="162"/>
      <c r="N44" s="162"/>
      <c r="O44" s="162"/>
      <c r="P44" s="162"/>
      <c r="Q44" s="162"/>
      <c r="AC44" s="103"/>
      <c r="AD44" s="188"/>
      <c r="AE44" s="189"/>
      <c r="AF44" s="106">
        <f ca="1">S36</f>
        <v>-12.161790431749331</v>
      </c>
      <c r="AG44" s="107">
        <f ca="1">$AF$14-AF44</f>
        <v>1.1109301679202073</v>
      </c>
    </row>
    <row r="45" spans="1:36" x14ac:dyDescent="0.25">
      <c r="B45" s="120"/>
      <c r="C45" s="120"/>
      <c r="D45" s="120"/>
      <c r="E45" s="120"/>
      <c r="H45" s="162"/>
      <c r="K45" s="120"/>
      <c r="L45" s="120"/>
      <c r="N45" s="162"/>
      <c r="O45" s="162"/>
      <c r="P45" s="162"/>
      <c r="Q45" s="162"/>
      <c r="AC45" s="103"/>
      <c r="AD45" s="188"/>
      <c r="AE45" s="189"/>
      <c r="AF45" s="135"/>
      <c r="AG45" s="155"/>
    </row>
    <row r="46" spans="1:36" x14ac:dyDescent="0.25">
      <c r="B46" s="120"/>
      <c r="C46" s="120"/>
      <c r="D46" s="120"/>
      <c r="E46" s="120"/>
      <c r="F46" s="187"/>
      <c r="G46" s="187"/>
      <c r="H46" s="162"/>
      <c r="I46" s="120"/>
      <c r="J46" s="120"/>
      <c r="K46" s="120"/>
      <c r="L46" s="120"/>
      <c r="N46" s="162"/>
      <c r="O46" s="162"/>
      <c r="P46" s="162"/>
      <c r="Q46" s="162"/>
      <c r="AC46" s="103">
        <v>7</v>
      </c>
      <c r="AD46" s="188" t="s">
        <v>94</v>
      </c>
      <c r="AE46" s="189"/>
      <c r="AF46" s="106">
        <f ca="1">-AF10/2</f>
        <v>-13.788764686087038</v>
      </c>
      <c r="AG46" s="107">
        <f ca="1">S35</f>
        <v>5.331957568962844</v>
      </c>
    </row>
    <row r="47" spans="1:36" x14ac:dyDescent="0.25">
      <c r="B47" s="120"/>
      <c r="C47" s="120"/>
      <c r="D47" s="120"/>
      <c r="E47" s="120"/>
      <c r="F47" s="187"/>
      <c r="G47" s="187"/>
      <c r="H47" s="162"/>
      <c r="I47" s="120"/>
      <c r="J47" s="120"/>
      <c r="K47" s="120"/>
      <c r="L47" s="120"/>
      <c r="N47" s="162"/>
      <c r="O47" s="162"/>
      <c r="P47" s="162"/>
      <c r="Q47" s="162"/>
      <c r="AC47" s="103"/>
      <c r="AD47" s="188"/>
      <c r="AE47" s="189"/>
      <c r="AF47" s="106">
        <f ca="1">-AF10/2</f>
        <v>-13.788764686087038</v>
      </c>
      <c r="AG47" s="107">
        <f>AA29</f>
        <v>20</v>
      </c>
    </row>
    <row r="48" spans="1:36" x14ac:dyDescent="0.25">
      <c r="B48" s="120"/>
      <c r="C48" s="120"/>
      <c r="D48" s="120"/>
      <c r="E48" s="120"/>
      <c r="F48" s="187"/>
      <c r="G48" s="187"/>
      <c r="H48" s="162"/>
      <c r="I48" s="120"/>
      <c r="J48" s="120"/>
      <c r="K48" s="120"/>
      <c r="L48" s="120"/>
      <c r="N48" s="162"/>
      <c r="O48" s="162"/>
      <c r="P48" s="162"/>
      <c r="Q48" s="162"/>
      <c r="AC48" s="103"/>
      <c r="AD48" s="188"/>
      <c r="AE48" s="189"/>
      <c r="AF48" s="135"/>
      <c r="AG48" s="155"/>
    </row>
    <row r="49" spans="2:33" x14ac:dyDescent="0.25">
      <c r="B49" s="120"/>
      <c r="C49" s="120"/>
      <c r="D49" s="120"/>
      <c r="E49" s="120"/>
      <c r="F49" s="187"/>
      <c r="G49" s="187"/>
      <c r="H49" s="162"/>
      <c r="I49" s="120"/>
      <c r="J49" s="120"/>
      <c r="K49" s="120"/>
      <c r="L49" s="120"/>
      <c r="N49" s="162"/>
      <c r="O49" s="162"/>
      <c r="P49" s="162"/>
      <c r="Q49" s="162"/>
      <c r="AC49" s="103">
        <v>8</v>
      </c>
      <c r="AD49" s="188" t="s">
        <v>112</v>
      </c>
      <c r="AE49" s="189"/>
      <c r="AF49" s="106">
        <f ca="1">S32</f>
        <v>-12.491738112734577</v>
      </c>
      <c r="AG49" s="107">
        <f ca="1">S33</f>
        <v>1.4408778489054512</v>
      </c>
    </row>
    <row r="50" spans="2:33" x14ac:dyDescent="0.25">
      <c r="B50" s="120"/>
      <c r="C50" s="120"/>
      <c r="D50" s="120"/>
      <c r="E50" s="120"/>
      <c r="H50" s="162"/>
      <c r="I50" s="120"/>
      <c r="J50" s="120"/>
      <c r="K50" s="120"/>
      <c r="L50" s="120"/>
      <c r="N50" s="162"/>
      <c r="AC50" s="103"/>
      <c r="AD50" s="188"/>
      <c r="AE50" s="189"/>
      <c r="AF50" s="136">
        <f ca="1">S32</f>
        <v>-12.491738112734577</v>
      </c>
      <c r="AG50" s="107">
        <f ca="1">S31</f>
        <v>1.275904008412823</v>
      </c>
    </row>
    <row r="51" spans="2:33" x14ac:dyDescent="0.25">
      <c r="B51" s="120"/>
      <c r="C51" s="120"/>
      <c r="D51" s="120"/>
      <c r="E51" s="120"/>
      <c r="F51" s="187"/>
      <c r="G51" s="187"/>
      <c r="H51" s="162"/>
      <c r="I51" s="120"/>
      <c r="J51" s="120"/>
      <c r="K51" s="120"/>
      <c r="L51" s="120"/>
      <c r="N51" s="162"/>
      <c r="AC51" s="103"/>
      <c r="AD51" s="188"/>
      <c r="AE51" s="189"/>
      <c r="AF51" s="135"/>
      <c r="AG51" s="155"/>
    </row>
    <row r="52" spans="2:33" x14ac:dyDescent="0.25">
      <c r="B52" s="120"/>
      <c r="C52" s="120"/>
      <c r="D52" s="120"/>
      <c r="E52" s="120"/>
      <c r="H52" s="162"/>
      <c r="I52" s="120"/>
      <c r="J52" s="120"/>
      <c r="K52" s="120"/>
      <c r="L52" s="120"/>
      <c r="R52" s="159"/>
      <c r="AC52" s="103">
        <v>9</v>
      </c>
      <c r="AD52" s="188" t="s">
        <v>113</v>
      </c>
      <c r="AE52" s="189"/>
      <c r="AF52" s="106">
        <f ca="1">S40</f>
        <v>-7.3590849048426641</v>
      </c>
      <c r="AG52" s="107">
        <f ca="1">-0.5*AF52-$AF$20</f>
        <v>-2.8008792565703882</v>
      </c>
    </row>
    <row r="53" spans="2:33" x14ac:dyDescent="0.25">
      <c r="B53" s="120"/>
      <c r="C53" s="120"/>
      <c r="D53" s="120"/>
      <c r="E53" s="120"/>
      <c r="H53" s="162"/>
      <c r="I53" s="120"/>
      <c r="J53" s="120"/>
      <c r="K53" s="120"/>
      <c r="L53" s="120"/>
      <c r="R53" s="159"/>
      <c r="AC53" s="103"/>
      <c r="AD53" s="188"/>
      <c r="AE53" s="189"/>
      <c r="AF53" s="106">
        <f>Z29</f>
        <v>2</v>
      </c>
      <c r="AG53" s="107">
        <f>-0.5*AF53-$AF$20</f>
        <v>-7.4804217089917202</v>
      </c>
    </row>
    <row r="54" spans="2:33" x14ac:dyDescent="0.25">
      <c r="B54" s="120"/>
      <c r="C54" s="120"/>
      <c r="D54" s="120"/>
      <c r="E54" s="120"/>
      <c r="H54" s="162"/>
      <c r="I54" s="120"/>
      <c r="J54" s="120"/>
      <c r="K54" s="120"/>
      <c r="L54" s="120"/>
      <c r="R54" s="159"/>
      <c r="AC54" s="103"/>
      <c r="AD54" s="188"/>
      <c r="AE54" s="189"/>
      <c r="AF54" s="135"/>
      <c r="AG54" s="155"/>
    </row>
    <row r="55" spans="2:33" x14ac:dyDescent="0.25">
      <c r="B55" s="120"/>
      <c r="C55" s="120"/>
      <c r="D55" s="120"/>
      <c r="E55" s="120"/>
      <c r="K55" s="120"/>
      <c r="L55" s="120"/>
      <c r="R55" s="159"/>
      <c r="AC55" s="103">
        <v>10</v>
      </c>
      <c r="AD55" s="188" t="s">
        <v>114</v>
      </c>
      <c r="AE55" s="189"/>
      <c r="AF55" s="106">
        <f ca="1">S38</f>
        <v>-8.59820602208503</v>
      </c>
      <c r="AG55" s="107">
        <f ca="1">-AF55-$AF$17</f>
        <v>-1.5617581393280222</v>
      </c>
    </row>
    <row r="56" spans="2:33" x14ac:dyDescent="0.25">
      <c r="B56" s="120"/>
      <c r="C56" s="120"/>
      <c r="D56" s="120"/>
      <c r="E56" s="120"/>
      <c r="K56" s="120"/>
      <c r="L56" s="120"/>
      <c r="R56" s="159"/>
      <c r="AC56" s="103"/>
      <c r="AD56" s="188"/>
      <c r="AE56" s="189"/>
      <c r="AF56" s="136">
        <f ca="1">S40</f>
        <v>-7.3590849048426641</v>
      </c>
      <c r="AG56" s="107">
        <f ca="1">-AF56-$AF$17</f>
        <v>-2.8008792565703882</v>
      </c>
    </row>
    <row r="57" spans="2:33" x14ac:dyDescent="0.25">
      <c r="B57" s="120"/>
      <c r="C57" s="120"/>
      <c r="D57" s="120"/>
      <c r="E57" s="120"/>
      <c r="K57" s="120"/>
      <c r="L57" s="120"/>
      <c r="R57" s="159"/>
      <c r="AC57" s="103"/>
      <c r="AD57" s="188"/>
      <c r="AE57" s="189"/>
      <c r="AF57" s="135"/>
      <c r="AG57" s="155"/>
    </row>
    <row r="58" spans="2:33" x14ac:dyDescent="0.25">
      <c r="B58" s="120"/>
      <c r="C58" s="120"/>
      <c r="D58" s="120"/>
      <c r="E58" s="120"/>
      <c r="K58" s="120"/>
      <c r="L58" s="120"/>
      <c r="R58" s="159"/>
      <c r="AC58" s="103">
        <v>11</v>
      </c>
      <c r="AD58" s="188" t="s">
        <v>115</v>
      </c>
      <c r="AE58" s="189"/>
      <c r="AF58" s="106">
        <f ca="1">S38</f>
        <v>-8.59820602208503</v>
      </c>
      <c r="AG58" s="107">
        <f ca="1">(-0.25*AF58-$AF$18)/0.5</f>
        <v>-1.5617581393280222</v>
      </c>
    </row>
    <row r="59" spans="2:33" x14ac:dyDescent="0.25">
      <c r="B59" s="120"/>
      <c r="C59" s="120"/>
      <c r="D59" s="120"/>
      <c r="E59" s="162"/>
      <c r="K59" s="162"/>
      <c r="L59" s="162"/>
      <c r="R59" s="159"/>
      <c r="AC59" s="103"/>
      <c r="AD59" s="188"/>
      <c r="AE59" s="189"/>
      <c r="AF59" s="106">
        <f>Z29</f>
        <v>2</v>
      </c>
      <c r="AG59" s="107">
        <f>(-0.25*AF59-$AF$18)/0.5</f>
        <v>-6.8608611503705372</v>
      </c>
    </row>
    <row r="60" spans="2:33" x14ac:dyDescent="0.25">
      <c r="B60" s="120"/>
      <c r="C60" s="120"/>
      <c r="D60" s="120"/>
      <c r="E60" s="162"/>
      <c r="K60" s="162"/>
      <c r="L60" s="162"/>
      <c r="R60" s="159"/>
      <c r="AC60" s="103"/>
      <c r="AD60" s="188"/>
      <c r="AE60" s="189"/>
      <c r="AF60" s="135"/>
      <c r="AG60" s="155"/>
    </row>
    <row r="61" spans="2:33" x14ac:dyDescent="0.25">
      <c r="B61" s="120"/>
      <c r="C61" s="120"/>
      <c r="D61" s="120"/>
      <c r="E61" s="162"/>
      <c r="K61" s="162"/>
      <c r="L61" s="162"/>
      <c r="R61" s="159"/>
      <c r="AC61" s="103">
        <v>12</v>
      </c>
      <c r="AD61" s="188" t="s">
        <v>116</v>
      </c>
      <c r="AE61" s="189"/>
      <c r="AF61" s="106">
        <f ca="1">S40</f>
        <v>-7.3590849048426641</v>
      </c>
      <c r="AG61" s="107">
        <f>AA30</f>
        <v>-10</v>
      </c>
    </row>
    <row r="62" spans="2:33" x14ac:dyDescent="0.25">
      <c r="B62" s="120"/>
      <c r="C62" s="120"/>
      <c r="D62" s="120"/>
      <c r="E62" s="162"/>
      <c r="K62" s="162"/>
      <c r="L62" s="162"/>
      <c r="R62" s="159"/>
      <c r="AC62" s="103"/>
      <c r="AD62" s="188"/>
      <c r="AE62" s="189"/>
      <c r="AF62" s="106">
        <f ca="1">S40</f>
        <v>-7.3590849048426641</v>
      </c>
      <c r="AG62" s="107">
        <f ca="1">S41</f>
        <v>-2.8008792565703882</v>
      </c>
    </row>
    <row r="63" spans="2:33" x14ac:dyDescent="0.25">
      <c r="B63" s="120"/>
      <c r="C63" s="120"/>
      <c r="D63" s="120"/>
      <c r="E63" s="162"/>
      <c r="K63" s="162"/>
      <c r="L63" s="162"/>
      <c r="R63" s="159"/>
      <c r="AC63" s="103"/>
      <c r="AD63" s="188"/>
      <c r="AE63" s="189"/>
      <c r="AF63" s="135"/>
      <c r="AG63" s="155"/>
    </row>
    <row r="64" spans="2:33" x14ac:dyDescent="0.25">
      <c r="B64" s="120"/>
      <c r="C64" s="120"/>
      <c r="D64" s="120"/>
      <c r="E64" s="162"/>
      <c r="K64" s="162"/>
      <c r="L64" s="162"/>
      <c r="Q64" s="104"/>
      <c r="R64" s="159"/>
      <c r="AC64" s="103">
        <v>13</v>
      </c>
      <c r="AD64" s="188" t="s">
        <v>93</v>
      </c>
      <c r="AE64" s="189"/>
      <c r="AF64" s="106">
        <f ca="1">S28</f>
        <v>-15.429793010402065</v>
      </c>
      <c r="AG64" s="107">
        <f ca="1">1.5*AF64-$AF$11</f>
        <v>-3.1311783380884108</v>
      </c>
    </row>
    <row r="65" spans="2:33" x14ac:dyDescent="0.25">
      <c r="B65" s="120"/>
      <c r="C65" s="120"/>
      <c r="D65" s="120"/>
      <c r="E65" s="162"/>
      <c r="K65" s="162"/>
      <c r="L65" s="162"/>
      <c r="Q65" s="104"/>
      <c r="R65" s="159"/>
      <c r="AC65" s="103"/>
      <c r="AD65" s="188"/>
      <c r="AE65" s="189"/>
      <c r="AF65" s="136">
        <f ca="1">S30</f>
        <v>-12.491738112734575</v>
      </c>
      <c r="AG65" s="107">
        <f ca="1">1.5*AF65-$AF$11</f>
        <v>1.275904008412823</v>
      </c>
    </row>
    <row r="66" spans="2:33" x14ac:dyDescent="0.25">
      <c r="B66" s="120"/>
      <c r="C66" s="120"/>
      <c r="D66" s="120"/>
      <c r="E66" s="162"/>
      <c r="K66" s="162"/>
      <c r="L66" s="162"/>
      <c r="M66" s="162"/>
      <c r="N66" s="162"/>
      <c r="O66" s="162"/>
      <c r="P66" s="162"/>
      <c r="Q66" s="162"/>
      <c r="AC66" s="103"/>
      <c r="AD66" s="188"/>
      <c r="AE66" s="189"/>
      <c r="AF66" s="135"/>
      <c r="AG66" s="107"/>
    </row>
    <row r="67" spans="2:33" x14ac:dyDescent="0.25">
      <c r="B67" s="120"/>
      <c r="C67" s="120"/>
      <c r="D67" s="120"/>
      <c r="E67" s="162"/>
      <c r="K67" s="162"/>
      <c r="L67" s="162"/>
      <c r="M67" s="162"/>
      <c r="N67" s="162"/>
      <c r="O67" s="162"/>
      <c r="P67" s="162"/>
      <c r="Q67" s="162"/>
      <c r="AC67" s="103">
        <v>14</v>
      </c>
      <c r="AD67" s="188" t="s">
        <v>113</v>
      </c>
      <c r="AE67" s="189"/>
      <c r="AF67" s="106">
        <f ca="1">S36</f>
        <v>-12.161790431749331</v>
      </c>
      <c r="AG67" s="107">
        <f ca="1">-0.75*AF67-$AF$16</f>
        <v>1.1109301679202002</v>
      </c>
    </row>
    <row r="68" spans="2:33" x14ac:dyDescent="0.25">
      <c r="B68" s="120"/>
      <c r="C68" s="120"/>
      <c r="D68" s="120"/>
      <c r="E68" s="162"/>
      <c r="K68" s="162"/>
      <c r="L68" s="162"/>
      <c r="M68" s="162"/>
      <c r="N68" s="162"/>
      <c r="O68" s="162"/>
      <c r="P68" s="162"/>
      <c r="Q68" s="162"/>
      <c r="AC68" s="111"/>
      <c r="AD68" s="190"/>
      <c r="AE68" s="191"/>
      <c r="AF68" s="117">
        <f ca="1">S38</f>
        <v>-8.59820602208503</v>
      </c>
      <c r="AG68" s="118">
        <f ca="1">-0.75*AF68-$AF$16</f>
        <v>-1.5617581393280258</v>
      </c>
    </row>
    <row r="69" spans="2:33" x14ac:dyDescent="0.25">
      <c r="B69" s="120"/>
      <c r="C69" s="120"/>
      <c r="D69" s="120"/>
      <c r="E69" s="162"/>
      <c r="K69" s="162"/>
      <c r="L69" s="162"/>
      <c r="M69" s="162"/>
      <c r="N69" s="162"/>
      <c r="O69" s="162"/>
      <c r="P69" s="162"/>
      <c r="Q69" s="162"/>
      <c r="AD69" s="192"/>
      <c r="AE69" s="192"/>
    </row>
    <row r="70" spans="2:33" x14ac:dyDescent="0.25">
      <c r="B70" s="120"/>
      <c r="C70" s="120"/>
      <c r="D70" s="120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</row>
    <row r="71" spans="2:33" x14ac:dyDescent="0.25">
      <c r="B71" s="120"/>
      <c r="C71" s="120"/>
      <c r="D71" s="120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</row>
    <row r="72" spans="2:33" x14ac:dyDescent="0.25">
      <c r="B72" s="120"/>
      <c r="C72" s="120"/>
      <c r="D72" s="120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</row>
    <row r="73" spans="2:33" x14ac:dyDescent="0.25">
      <c r="B73" s="120"/>
      <c r="C73" s="120"/>
      <c r="D73" s="120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</row>
    <row r="74" spans="2:33" x14ac:dyDescent="0.25">
      <c r="B74" s="120"/>
      <c r="C74" s="120"/>
      <c r="D74" s="120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</row>
    <row r="75" spans="2:33" x14ac:dyDescent="0.25">
      <c r="B75" s="120"/>
      <c r="C75" s="120"/>
      <c r="D75" s="120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</row>
    <row r="76" spans="2:33" x14ac:dyDescent="0.25">
      <c r="B76" s="120"/>
      <c r="C76" s="120"/>
      <c r="D76" s="120"/>
      <c r="E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</row>
    <row r="77" spans="2:33" x14ac:dyDescent="0.25">
      <c r="B77" s="120"/>
      <c r="C77" s="120"/>
      <c r="D77" s="120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</row>
    <row r="78" spans="2:33" x14ac:dyDescent="0.25">
      <c r="B78" s="120"/>
      <c r="C78" s="120"/>
      <c r="D78" s="120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</row>
    <row r="79" spans="2:33" x14ac:dyDescent="0.25">
      <c r="B79" s="120"/>
      <c r="C79" s="120"/>
      <c r="D79" s="120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</row>
    <row r="80" spans="2:33" x14ac:dyDescent="0.25">
      <c r="B80" s="120"/>
      <c r="C80" s="120"/>
      <c r="D80" s="120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</row>
    <row r="81" spans="2:17" x14ac:dyDescent="0.25">
      <c r="B81" s="120"/>
      <c r="C81" s="120"/>
      <c r="D81" s="120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</row>
    <row r="82" spans="2:17" x14ac:dyDescent="0.25">
      <c r="B82" s="120"/>
      <c r="C82" s="120"/>
      <c r="D82" s="120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</row>
    <row r="83" spans="2:17" x14ac:dyDescent="0.25">
      <c r="B83" s="120"/>
      <c r="C83" s="120"/>
      <c r="D83" s="120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</row>
    <row r="84" spans="2:17" x14ac:dyDescent="0.25">
      <c r="B84" s="120"/>
      <c r="C84" s="120"/>
      <c r="D84" s="120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</row>
    <row r="85" spans="2:17" x14ac:dyDescent="0.25">
      <c r="B85" s="120"/>
      <c r="C85" s="120"/>
      <c r="D85" s="120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</row>
    <row r="86" spans="2:17" x14ac:dyDescent="0.25">
      <c r="B86" s="120"/>
      <c r="C86" s="120"/>
      <c r="D86" s="120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</row>
    <row r="87" spans="2:17" x14ac:dyDescent="0.25">
      <c r="B87" s="120"/>
      <c r="C87" s="120"/>
      <c r="D87" s="120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</row>
    <row r="88" spans="2:17" x14ac:dyDescent="0.25">
      <c r="B88" s="120"/>
      <c r="C88" s="120"/>
      <c r="D88" s="120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</row>
    <row r="89" spans="2:17" x14ac:dyDescent="0.25">
      <c r="B89" s="120"/>
      <c r="C89" s="120"/>
      <c r="D89" s="120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</row>
    <row r="90" spans="2:17" x14ac:dyDescent="0.25">
      <c r="B90" s="120"/>
      <c r="C90" s="120"/>
      <c r="D90" s="120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</row>
    <row r="91" spans="2:17" x14ac:dyDescent="0.25">
      <c r="B91" s="120"/>
      <c r="C91" s="120"/>
      <c r="D91" s="120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</row>
    <row r="92" spans="2:17" x14ac:dyDescent="0.25">
      <c r="B92" s="120"/>
      <c r="C92" s="120"/>
      <c r="D92" s="120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</row>
    <row r="93" spans="2:17" x14ac:dyDescent="0.25">
      <c r="B93" s="120"/>
      <c r="C93" s="120"/>
      <c r="D93" s="120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</row>
    <row r="94" spans="2:17" x14ac:dyDescent="0.25">
      <c r="B94" s="120"/>
      <c r="C94" s="120"/>
      <c r="D94" s="120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</row>
    <row r="95" spans="2:17" x14ac:dyDescent="0.25">
      <c r="B95" s="120"/>
      <c r="C95" s="120"/>
      <c r="D95" s="120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</row>
    <row r="96" spans="2:17" x14ac:dyDescent="0.25">
      <c r="B96" s="120"/>
      <c r="C96" s="120"/>
      <c r="D96" s="120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</row>
    <row r="97" spans="2:17" x14ac:dyDescent="0.25">
      <c r="B97" s="120"/>
      <c r="C97" s="120"/>
      <c r="D97" s="120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</row>
    <row r="98" spans="2:17" x14ac:dyDescent="0.25">
      <c r="B98" s="120"/>
      <c r="C98" s="120"/>
      <c r="D98" s="120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</row>
    <row r="99" spans="2:17" x14ac:dyDescent="0.25">
      <c r="B99" s="120"/>
      <c r="C99" s="120"/>
      <c r="D99" s="120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</row>
    <row r="100" spans="2:17" x14ac:dyDescent="0.25">
      <c r="B100" s="120"/>
      <c r="C100" s="120"/>
      <c r="D100" s="120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</row>
    <row r="101" spans="2:17" x14ac:dyDescent="0.25">
      <c r="B101" s="120"/>
      <c r="C101" s="120"/>
      <c r="D101" s="120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</row>
    <row r="102" spans="2:17" x14ac:dyDescent="0.25">
      <c r="B102" s="120"/>
      <c r="C102" s="120"/>
      <c r="D102" s="120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</row>
    <row r="103" spans="2:17" x14ac:dyDescent="0.25">
      <c r="B103" s="120"/>
      <c r="C103" s="120"/>
      <c r="D103" s="120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</row>
    <row r="104" spans="2:17" x14ac:dyDescent="0.25">
      <c r="B104" s="120"/>
      <c r="C104" s="120"/>
      <c r="D104" s="120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</row>
    <row r="105" spans="2:17" x14ac:dyDescent="0.25">
      <c r="B105" s="120"/>
      <c r="C105" s="120"/>
      <c r="D105" s="120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</row>
    <row r="106" spans="2:17" x14ac:dyDescent="0.25">
      <c r="B106" s="120"/>
      <c r="C106" s="120"/>
      <c r="D106" s="120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</row>
    <row r="107" spans="2:17" x14ac:dyDescent="0.25">
      <c r="B107" s="120"/>
      <c r="C107" s="120"/>
      <c r="D107" s="120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</row>
    <row r="108" spans="2:17" x14ac:dyDescent="0.25">
      <c r="B108" s="120"/>
      <c r="C108" s="120"/>
      <c r="D108" s="120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</row>
    <row r="109" spans="2:17" x14ac:dyDescent="0.25">
      <c r="B109" s="120"/>
      <c r="C109" s="120"/>
      <c r="D109" s="120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</row>
    <row r="110" spans="2:17" x14ac:dyDescent="0.25">
      <c r="B110" s="120"/>
      <c r="C110" s="120"/>
      <c r="D110" s="120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</row>
    <row r="111" spans="2:17" x14ac:dyDescent="0.25">
      <c r="B111" s="120"/>
      <c r="C111" s="120"/>
      <c r="D111" s="120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</row>
    <row r="112" spans="2:17" x14ac:dyDescent="0.25">
      <c r="B112" s="120"/>
      <c r="C112" s="120"/>
      <c r="D112" s="120"/>
      <c r="E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</row>
    <row r="113" spans="2:17" x14ac:dyDescent="0.25">
      <c r="B113" s="120"/>
      <c r="C113" s="120"/>
      <c r="D113" s="120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</row>
    <row r="114" spans="2:17" x14ac:dyDescent="0.25">
      <c r="B114" s="120"/>
      <c r="C114" s="120"/>
      <c r="D114" s="120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</row>
    <row r="115" spans="2:17" x14ac:dyDescent="0.25">
      <c r="B115" s="120"/>
      <c r="C115" s="120"/>
      <c r="D115" s="120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</row>
    <row r="116" spans="2:17" x14ac:dyDescent="0.25">
      <c r="B116" s="120"/>
      <c r="C116" s="120"/>
      <c r="D116" s="120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</row>
    <row r="117" spans="2:17" x14ac:dyDescent="0.25">
      <c r="B117" s="120"/>
      <c r="C117" s="120"/>
      <c r="D117" s="120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</row>
    <row r="118" spans="2:17" x14ac:dyDescent="0.25">
      <c r="B118" s="120"/>
      <c r="C118" s="120"/>
      <c r="D118" s="120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</row>
    <row r="119" spans="2:17" x14ac:dyDescent="0.25">
      <c r="B119" s="120"/>
      <c r="C119" s="120"/>
      <c r="D119" s="120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</row>
    <row r="120" spans="2:17" x14ac:dyDescent="0.25">
      <c r="B120" s="120"/>
      <c r="C120" s="120"/>
      <c r="D120" s="120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</row>
    <row r="121" spans="2:17" x14ac:dyDescent="0.25">
      <c r="B121" s="120"/>
      <c r="C121" s="120"/>
      <c r="D121" s="120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</row>
    <row r="122" spans="2:17" x14ac:dyDescent="0.25">
      <c r="B122" s="120"/>
      <c r="C122" s="120"/>
      <c r="D122" s="120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</row>
    <row r="123" spans="2:17" x14ac:dyDescent="0.25">
      <c r="B123" s="120"/>
      <c r="C123" s="120"/>
      <c r="D123" s="120"/>
      <c r="E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</row>
    <row r="124" spans="2:17" x14ac:dyDescent="0.25">
      <c r="B124" s="120"/>
      <c r="C124" s="120"/>
      <c r="D124" s="120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</row>
    <row r="125" spans="2:17" x14ac:dyDescent="0.25">
      <c r="B125" s="120"/>
      <c r="C125" s="120"/>
      <c r="D125" s="120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</row>
    <row r="126" spans="2:17" x14ac:dyDescent="0.25">
      <c r="B126" s="120"/>
      <c r="C126" s="120"/>
      <c r="D126" s="120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</row>
    <row r="127" spans="2:17" x14ac:dyDescent="0.25">
      <c r="B127" s="120"/>
      <c r="C127" s="120"/>
      <c r="D127" s="120"/>
      <c r="E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</row>
    <row r="128" spans="2:17" x14ac:dyDescent="0.25">
      <c r="B128" s="120"/>
      <c r="C128" s="120"/>
      <c r="D128" s="120"/>
      <c r="E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</row>
    <row r="129" spans="2:17" x14ac:dyDescent="0.25">
      <c r="B129" s="120"/>
      <c r="C129" s="120"/>
      <c r="D129" s="120"/>
      <c r="E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</row>
    <row r="130" spans="2:17" x14ac:dyDescent="0.25">
      <c r="B130" s="120"/>
      <c r="C130" s="120"/>
      <c r="D130" s="120"/>
      <c r="E130" s="162"/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</row>
    <row r="131" spans="2:17" x14ac:dyDescent="0.25">
      <c r="B131" s="120"/>
      <c r="C131" s="120"/>
      <c r="D131" s="120"/>
      <c r="E131" s="162"/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</row>
    <row r="132" spans="2:17" x14ac:dyDescent="0.25">
      <c r="B132" s="120"/>
      <c r="C132" s="120"/>
      <c r="D132" s="120"/>
      <c r="E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</row>
    <row r="133" spans="2:17" x14ac:dyDescent="0.25">
      <c r="B133" s="120"/>
      <c r="C133" s="120"/>
      <c r="D133" s="120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</row>
    <row r="134" spans="2:17" x14ac:dyDescent="0.25">
      <c r="B134" s="120"/>
      <c r="C134" s="120"/>
      <c r="D134" s="120"/>
      <c r="E134" s="162"/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</row>
    <row r="135" spans="2:17" x14ac:dyDescent="0.25">
      <c r="B135" s="120"/>
      <c r="C135" s="120"/>
      <c r="D135" s="120"/>
      <c r="E135" s="162"/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</row>
    <row r="136" spans="2:17" x14ac:dyDescent="0.25">
      <c r="B136" s="120"/>
      <c r="C136" s="120"/>
      <c r="D136" s="120"/>
      <c r="E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</row>
    <row r="137" spans="2:17" x14ac:dyDescent="0.25">
      <c r="B137" s="120"/>
      <c r="C137" s="120"/>
      <c r="D137" s="120"/>
      <c r="E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</row>
    <row r="138" spans="2:17" x14ac:dyDescent="0.25">
      <c r="B138" s="120"/>
      <c r="C138" s="120"/>
      <c r="D138" s="120"/>
      <c r="E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</row>
    <row r="139" spans="2:17" x14ac:dyDescent="0.25">
      <c r="B139" s="120"/>
      <c r="C139" s="120"/>
      <c r="D139" s="120"/>
      <c r="E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</row>
    <row r="140" spans="2:17" x14ac:dyDescent="0.25">
      <c r="B140" s="120"/>
      <c r="C140" s="120"/>
      <c r="D140" s="120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</row>
    <row r="141" spans="2:17" x14ac:dyDescent="0.25">
      <c r="B141" s="120"/>
      <c r="C141" s="120"/>
      <c r="D141" s="120"/>
      <c r="E141" s="162"/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</row>
    <row r="142" spans="2:17" x14ac:dyDescent="0.25">
      <c r="B142" s="120"/>
      <c r="C142" s="120"/>
      <c r="D142" s="120"/>
      <c r="E142" s="162"/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</row>
    <row r="143" spans="2:17" x14ac:dyDescent="0.25">
      <c r="B143" s="120"/>
      <c r="C143" s="120"/>
      <c r="D143" s="120"/>
      <c r="E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</row>
    <row r="144" spans="2:17" x14ac:dyDescent="0.25">
      <c r="B144" s="120"/>
      <c r="C144" s="120"/>
      <c r="D144" s="120"/>
      <c r="E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</row>
    <row r="145" spans="2:17" x14ac:dyDescent="0.25">
      <c r="B145" s="120"/>
      <c r="C145" s="120"/>
      <c r="D145" s="120"/>
      <c r="E145" s="162"/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</row>
    <row r="146" spans="2:17" x14ac:dyDescent="0.25">
      <c r="B146" s="120"/>
      <c r="C146" s="120"/>
      <c r="D146" s="120"/>
      <c r="E146" s="162"/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</row>
    <row r="147" spans="2:17" x14ac:dyDescent="0.25">
      <c r="B147" s="120"/>
      <c r="C147" s="120"/>
      <c r="D147" s="120"/>
      <c r="E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</row>
    <row r="148" spans="2:17" x14ac:dyDescent="0.25">
      <c r="B148" s="120"/>
      <c r="C148" s="120"/>
      <c r="D148" s="120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</row>
    <row r="149" spans="2:17" x14ac:dyDescent="0.25">
      <c r="B149" s="120"/>
      <c r="C149" s="120"/>
      <c r="D149" s="120"/>
      <c r="E149" s="162"/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</row>
    <row r="150" spans="2:17" x14ac:dyDescent="0.25">
      <c r="B150" s="120"/>
      <c r="C150" s="120"/>
      <c r="D150" s="120"/>
      <c r="E150" s="162"/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</row>
    <row r="151" spans="2:17" x14ac:dyDescent="0.25">
      <c r="B151" s="120"/>
      <c r="C151" s="120"/>
      <c r="D151" s="120"/>
      <c r="E151" s="162"/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</row>
    <row r="152" spans="2:17" x14ac:dyDescent="0.25">
      <c r="B152" s="120"/>
      <c r="C152" s="120"/>
      <c r="D152" s="120"/>
      <c r="E152" s="162"/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</row>
    <row r="153" spans="2:17" x14ac:dyDescent="0.25">
      <c r="B153" s="120"/>
      <c r="C153" s="120"/>
      <c r="D153" s="120"/>
      <c r="E153" s="162"/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</row>
    <row r="154" spans="2:17" x14ac:dyDescent="0.25">
      <c r="B154" s="120"/>
      <c r="C154" s="120"/>
      <c r="D154" s="120"/>
      <c r="E154" s="162"/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</row>
    <row r="155" spans="2:17" x14ac:dyDescent="0.25">
      <c r="B155" s="120"/>
      <c r="C155" s="120"/>
      <c r="D155" s="120"/>
      <c r="E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</row>
    <row r="156" spans="2:17" x14ac:dyDescent="0.25">
      <c r="B156" s="120"/>
      <c r="C156" s="120"/>
      <c r="D156" s="120"/>
      <c r="E156" s="162"/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</row>
    <row r="157" spans="2:17" x14ac:dyDescent="0.25">
      <c r="B157" s="120"/>
      <c r="C157" s="120"/>
      <c r="D157" s="120"/>
      <c r="E157" s="162"/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</row>
    <row r="158" spans="2:17" x14ac:dyDescent="0.25">
      <c r="B158" s="120"/>
      <c r="C158" s="120"/>
      <c r="D158" s="120"/>
      <c r="E158" s="162"/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</row>
    <row r="159" spans="2:17" x14ac:dyDescent="0.25">
      <c r="B159" s="120"/>
      <c r="C159" s="120"/>
      <c r="D159" s="120"/>
      <c r="E159" s="162"/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</row>
    <row r="160" spans="2:17" x14ac:dyDescent="0.25">
      <c r="B160" s="120"/>
      <c r="C160" s="120"/>
      <c r="D160" s="120"/>
      <c r="E160" s="162"/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</row>
    <row r="161" spans="2:17" x14ac:dyDescent="0.25">
      <c r="B161" s="120"/>
      <c r="C161" s="120"/>
      <c r="D161" s="120"/>
      <c r="E161" s="162"/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</row>
    <row r="162" spans="2:17" x14ac:dyDescent="0.25">
      <c r="B162" s="120"/>
      <c r="C162" s="120"/>
      <c r="D162" s="120"/>
      <c r="E162" s="162"/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</row>
    <row r="163" spans="2:17" x14ac:dyDescent="0.25">
      <c r="B163" s="120"/>
      <c r="C163" s="120"/>
      <c r="D163" s="120"/>
      <c r="E163" s="162"/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</row>
    <row r="164" spans="2:17" x14ac:dyDescent="0.25">
      <c r="B164" s="120"/>
      <c r="C164" s="120"/>
      <c r="D164" s="120"/>
      <c r="E164" s="162"/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</row>
    <row r="165" spans="2:17" x14ac:dyDescent="0.25">
      <c r="B165" s="120"/>
      <c r="C165" s="120"/>
      <c r="D165" s="120"/>
      <c r="E165" s="162"/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</row>
    <row r="166" spans="2:17" x14ac:dyDescent="0.25">
      <c r="B166" s="120"/>
      <c r="C166" s="120"/>
      <c r="D166" s="120"/>
      <c r="E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</row>
    <row r="167" spans="2:17" x14ac:dyDescent="0.25">
      <c r="B167" s="120"/>
      <c r="C167" s="120"/>
      <c r="D167" s="120"/>
      <c r="E167" s="162"/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</row>
    <row r="168" spans="2:17" x14ac:dyDescent="0.25">
      <c r="B168" s="120"/>
      <c r="C168" s="120"/>
      <c r="D168" s="120"/>
      <c r="E168" s="162"/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</row>
    <row r="169" spans="2:17" x14ac:dyDescent="0.25">
      <c r="B169" s="120"/>
      <c r="C169" s="120"/>
      <c r="D169" s="120"/>
      <c r="E169" s="162"/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</row>
    <row r="170" spans="2:17" x14ac:dyDescent="0.25">
      <c r="B170" s="120"/>
      <c r="C170" s="120"/>
      <c r="D170" s="120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</row>
    <row r="171" spans="2:17" x14ac:dyDescent="0.25">
      <c r="B171" s="120"/>
      <c r="C171" s="120"/>
      <c r="D171" s="120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</row>
    <row r="172" spans="2:17" x14ac:dyDescent="0.25">
      <c r="B172" s="120"/>
      <c r="C172" s="120"/>
      <c r="D172" s="120"/>
      <c r="E172" s="162"/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</row>
    <row r="173" spans="2:17" x14ac:dyDescent="0.25">
      <c r="B173" s="120"/>
      <c r="C173" s="120"/>
      <c r="D173" s="120"/>
      <c r="E173" s="162"/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</row>
    <row r="174" spans="2:17" x14ac:dyDescent="0.25">
      <c r="B174" s="120"/>
      <c r="C174" s="120"/>
      <c r="D174" s="120"/>
      <c r="E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</row>
    <row r="175" spans="2:17" x14ac:dyDescent="0.25">
      <c r="B175" s="120"/>
      <c r="C175" s="120"/>
      <c r="D175" s="120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</row>
    <row r="176" spans="2:17" x14ac:dyDescent="0.25">
      <c r="B176" s="120"/>
      <c r="C176" s="120"/>
      <c r="D176" s="120"/>
      <c r="E176" s="162"/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</row>
    <row r="177" spans="2:17" x14ac:dyDescent="0.25">
      <c r="B177" s="120"/>
      <c r="C177" s="120"/>
      <c r="D177" s="120"/>
      <c r="E177" s="162"/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</row>
    <row r="178" spans="2:17" x14ac:dyDescent="0.25">
      <c r="B178" s="120"/>
      <c r="C178" s="120"/>
      <c r="D178" s="120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</row>
    <row r="179" spans="2:17" x14ac:dyDescent="0.25">
      <c r="B179" s="120"/>
      <c r="C179" s="120"/>
      <c r="D179" s="120"/>
      <c r="E179" s="162"/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</row>
    <row r="180" spans="2:17" x14ac:dyDescent="0.25">
      <c r="B180" s="120"/>
      <c r="C180" s="120"/>
      <c r="D180" s="120"/>
      <c r="E180" s="162"/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</row>
    <row r="181" spans="2:17" x14ac:dyDescent="0.25">
      <c r="B181" s="120"/>
      <c r="C181" s="120"/>
      <c r="D181" s="120"/>
      <c r="E181" s="162"/>
      <c r="F181" s="162"/>
      <c r="G181" s="162"/>
      <c r="H181" s="162"/>
      <c r="I181" s="162"/>
      <c r="J181" s="162"/>
      <c r="K181" s="162"/>
      <c r="L181" s="162"/>
      <c r="M181" s="162"/>
      <c r="N181" s="162"/>
      <c r="O181" s="162"/>
      <c r="P181" s="162"/>
      <c r="Q181" s="162"/>
    </row>
    <row r="182" spans="2:17" x14ac:dyDescent="0.25">
      <c r="B182" s="120"/>
      <c r="C182" s="120"/>
      <c r="D182" s="120"/>
      <c r="E182" s="162"/>
      <c r="F182" s="162"/>
      <c r="G182" s="162"/>
      <c r="H182" s="162"/>
      <c r="I182" s="162"/>
      <c r="J182" s="162"/>
      <c r="K182" s="162"/>
      <c r="L182" s="162"/>
      <c r="M182" s="162"/>
      <c r="N182" s="162"/>
      <c r="O182" s="162"/>
      <c r="P182" s="162"/>
      <c r="Q182" s="162"/>
    </row>
    <row r="183" spans="2:17" x14ac:dyDescent="0.25">
      <c r="B183" s="120"/>
      <c r="C183" s="120"/>
      <c r="D183" s="120"/>
      <c r="E183" s="162"/>
      <c r="F183" s="162"/>
      <c r="G183" s="162"/>
      <c r="H183" s="162"/>
      <c r="I183" s="162"/>
      <c r="J183" s="162"/>
      <c r="K183" s="162"/>
      <c r="L183" s="162"/>
      <c r="M183" s="162"/>
      <c r="N183" s="162"/>
      <c r="O183" s="162"/>
      <c r="P183" s="162"/>
      <c r="Q183" s="162"/>
    </row>
    <row r="184" spans="2:17" x14ac:dyDescent="0.25">
      <c r="B184" s="120"/>
      <c r="C184" s="120"/>
      <c r="D184" s="120"/>
      <c r="E184" s="162"/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</row>
    <row r="185" spans="2:17" x14ac:dyDescent="0.25">
      <c r="B185" s="120"/>
      <c r="C185" s="120"/>
      <c r="D185" s="120"/>
      <c r="E185" s="162"/>
      <c r="F185" s="162"/>
      <c r="G185" s="162"/>
      <c r="H185" s="162"/>
      <c r="I185" s="162"/>
      <c r="J185" s="162"/>
      <c r="K185" s="162"/>
      <c r="L185" s="162"/>
      <c r="M185" s="162"/>
      <c r="N185" s="162"/>
      <c r="O185" s="162"/>
      <c r="P185" s="162"/>
      <c r="Q185" s="162"/>
    </row>
    <row r="186" spans="2:17" x14ac:dyDescent="0.25">
      <c r="B186" s="120"/>
      <c r="C186" s="120"/>
      <c r="D186" s="120"/>
      <c r="E186" s="162"/>
      <c r="F186" s="162"/>
      <c r="G186" s="162"/>
      <c r="H186" s="162"/>
      <c r="I186" s="162"/>
      <c r="J186" s="162"/>
      <c r="K186" s="162"/>
      <c r="L186" s="162"/>
      <c r="M186" s="162"/>
      <c r="N186" s="162"/>
      <c r="O186" s="162"/>
      <c r="P186" s="162"/>
      <c r="Q186" s="162"/>
    </row>
    <row r="187" spans="2:17" x14ac:dyDescent="0.25">
      <c r="B187" s="120"/>
      <c r="C187" s="120"/>
      <c r="D187" s="120"/>
      <c r="E187" s="162"/>
      <c r="F187" s="162"/>
      <c r="G187" s="162"/>
      <c r="H187" s="162"/>
      <c r="I187" s="162"/>
      <c r="J187" s="162"/>
      <c r="K187" s="162"/>
      <c r="L187" s="162"/>
      <c r="M187" s="162"/>
      <c r="N187" s="162"/>
      <c r="O187" s="162"/>
      <c r="P187" s="162"/>
      <c r="Q187" s="162"/>
    </row>
    <row r="188" spans="2:17" x14ac:dyDescent="0.25">
      <c r="B188" s="120"/>
      <c r="C188" s="120"/>
      <c r="D188" s="120"/>
      <c r="E188" s="162"/>
      <c r="F188" s="162"/>
      <c r="G188" s="162"/>
      <c r="H188" s="162"/>
      <c r="I188" s="162"/>
      <c r="J188" s="162"/>
      <c r="K188" s="162"/>
      <c r="L188" s="162"/>
      <c r="M188" s="162"/>
      <c r="N188" s="162"/>
      <c r="O188" s="162"/>
      <c r="P188" s="162"/>
      <c r="Q188" s="162"/>
    </row>
    <row r="189" spans="2:17" x14ac:dyDescent="0.25">
      <c r="B189" s="120"/>
      <c r="C189" s="120"/>
      <c r="D189" s="120"/>
      <c r="E189" s="162"/>
      <c r="F189" s="162"/>
      <c r="G189" s="162"/>
      <c r="H189" s="162"/>
      <c r="I189" s="162"/>
      <c r="J189" s="162"/>
      <c r="K189" s="162"/>
      <c r="L189" s="162"/>
      <c r="M189" s="162"/>
      <c r="N189" s="162"/>
      <c r="O189" s="162"/>
      <c r="P189" s="162"/>
      <c r="Q189" s="162"/>
    </row>
    <row r="190" spans="2:17" x14ac:dyDescent="0.25">
      <c r="B190" s="120"/>
      <c r="C190" s="120"/>
      <c r="D190" s="120"/>
      <c r="E190" s="162"/>
      <c r="F190" s="162"/>
      <c r="G190" s="162"/>
      <c r="H190" s="162"/>
      <c r="I190" s="162"/>
      <c r="J190" s="162"/>
      <c r="K190" s="162"/>
      <c r="L190" s="162"/>
      <c r="M190" s="162"/>
      <c r="N190" s="162"/>
      <c r="O190" s="162"/>
      <c r="P190" s="162"/>
      <c r="Q190" s="162"/>
    </row>
    <row r="191" spans="2:17" x14ac:dyDescent="0.25">
      <c r="B191" s="120"/>
      <c r="C191" s="120"/>
      <c r="D191" s="120"/>
      <c r="E191" s="162"/>
      <c r="F191" s="162"/>
      <c r="G191" s="162"/>
      <c r="H191" s="162"/>
      <c r="I191" s="162"/>
      <c r="J191" s="162"/>
      <c r="K191" s="162"/>
      <c r="L191" s="162"/>
      <c r="M191" s="162"/>
      <c r="N191" s="162"/>
      <c r="O191" s="162"/>
      <c r="P191" s="162"/>
      <c r="Q191" s="162"/>
    </row>
    <row r="192" spans="2:17" x14ac:dyDescent="0.25">
      <c r="B192" s="120"/>
      <c r="C192" s="120"/>
      <c r="D192" s="120"/>
      <c r="E192" s="162"/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</row>
    <row r="193" spans="2:17" x14ac:dyDescent="0.25">
      <c r="B193" s="120"/>
      <c r="C193" s="120"/>
      <c r="D193" s="120"/>
      <c r="E193" s="162"/>
      <c r="F193" s="162"/>
      <c r="G193" s="162"/>
      <c r="H193" s="162"/>
      <c r="I193" s="162"/>
      <c r="J193" s="162"/>
      <c r="K193" s="162"/>
      <c r="L193" s="162"/>
      <c r="M193" s="162"/>
      <c r="N193" s="162"/>
      <c r="O193" s="162"/>
      <c r="P193" s="162"/>
      <c r="Q193" s="162"/>
    </row>
    <row r="194" spans="2:17" x14ac:dyDescent="0.25">
      <c r="B194" s="120"/>
      <c r="C194" s="120"/>
      <c r="D194" s="120"/>
      <c r="E194" s="162"/>
      <c r="F194" s="162"/>
      <c r="G194" s="162"/>
      <c r="H194" s="162"/>
      <c r="I194" s="162"/>
      <c r="J194" s="162"/>
      <c r="K194" s="162"/>
      <c r="L194" s="162"/>
      <c r="M194" s="162"/>
      <c r="N194" s="162"/>
      <c r="O194" s="162"/>
      <c r="P194" s="162"/>
      <c r="Q194" s="162"/>
    </row>
    <row r="195" spans="2:17" x14ac:dyDescent="0.25">
      <c r="B195" s="120"/>
      <c r="C195" s="120"/>
      <c r="D195" s="120"/>
      <c r="E195" s="162"/>
      <c r="F195" s="162"/>
      <c r="G195" s="162"/>
      <c r="H195" s="162"/>
      <c r="I195" s="162"/>
      <c r="J195" s="162"/>
      <c r="K195" s="162"/>
      <c r="L195" s="162"/>
      <c r="M195" s="162"/>
      <c r="N195" s="162"/>
      <c r="O195" s="162"/>
      <c r="P195" s="162"/>
      <c r="Q195" s="162"/>
    </row>
    <row r="196" spans="2:17" x14ac:dyDescent="0.25">
      <c r="B196" s="120"/>
      <c r="C196" s="120"/>
      <c r="D196" s="120"/>
      <c r="E196" s="162"/>
      <c r="F196" s="162"/>
      <c r="G196" s="162"/>
      <c r="H196" s="162"/>
      <c r="I196" s="162"/>
      <c r="J196" s="162"/>
      <c r="K196" s="162"/>
      <c r="L196" s="162"/>
      <c r="M196" s="162"/>
      <c r="N196" s="162"/>
      <c r="O196" s="162"/>
      <c r="P196" s="162"/>
      <c r="Q196" s="162"/>
    </row>
    <row r="197" spans="2:17" x14ac:dyDescent="0.25">
      <c r="B197" s="120"/>
      <c r="C197" s="120"/>
      <c r="D197" s="120"/>
      <c r="E197" s="162"/>
      <c r="F197" s="162"/>
      <c r="G197" s="162"/>
      <c r="H197" s="162"/>
      <c r="I197" s="162"/>
      <c r="J197" s="162"/>
      <c r="K197" s="162"/>
      <c r="L197" s="162"/>
      <c r="M197" s="162"/>
      <c r="N197" s="162"/>
      <c r="O197" s="162"/>
      <c r="P197" s="162"/>
      <c r="Q197" s="162"/>
    </row>
    <row r="198" spans="2:17" x14ac:dyDescent="0.25">
      <c r="B198" s="120"/>
      <c r="C198" s="120"/>
      <c r="D198" s="120"/>
      <c r="E198" s="162"/>
      <c r="F198" s="162"/>
      <c r="G198" s="162"/>
      <c r="H198" s="162"/>
      <c r="I198" s="162"/>
      <c r="J198" s="162"/>
      <c r="K198" s="162"/>
      <c r="L198" s="162"/>
      <c r="M198" s="162"/>
      <c r="N198" s="162"/>
      <c r="O198" s="162"/>
      <c r="P198" s="162"/>
      <c r="Q198" s="162"/>
    </row>
    <row r="199" spans="2:17" x14ac:dyDescent="0.25">
      <c r="B199" s="120"/>
      <c r="C199" s="120"/>
      <c r="D199" s="120"/>
      <c r="E199" s="162"/>
      <c r="F199" s="162"/>
      <c r="G199" s="162"/>
      <c r="H199" s="162"/>
      <c r="I199" s="162"/>
      <c r="J199" s="162"/>
      <c r="K199" s="162"/>
      <c r="L199" s="162"/>
      <c r="M199" s="162"/>
      <c r="N199" s="162"/>
      <c r="O199" s="162"/>
      <c r="P199" s="162"/>
      <c r="Q199" s="162"/>
    </row>
    <row r="200" spans="2:17" x14ac:dyDescent="0.25">
      <c r="B200" s="120"/>
      <c r="C200" s="120"/>
      <c r="D200" s="120"/>
      <c r="E200" s="162"/>
      <c r="F200" s="162"/>
      <c r="G200" s="162"/>
      <c r="H200" s="162"/>
      <c r="I200" s="162"/>
      <c r="J200" s="162"/>
      <c r="K200" s="162"/>
      <c r="L200" s="162"/>
      <c r="M200" s="162"/>
      <c r="N200" s="162"/>
      <c r="O200" s="162"/>
      <c r="P200" s="162"/>
      <c r="Q200" s="162"/>
    </row>
    <row r="201" spans="2:17" x14ac:dyDescent="0.25">
      <c r="B201" s="120"/>
      <c r="C201" s="120"/>
      <c r="D201" s="120"/>
      <c r="E201" s="162"/>
      <c r="F201" s="162"/>
      <c r="G201" s="162"/>
      <c r="H201" s="162"/>
      <c r="I201" s="162"/>
      <c r="J201" s="162"/>
      <c r="K201" s="162"/>
      <c r="L201" s="162"/>
      <c r="M201" s="162"/>
      <c r="N201" s="162"/>
      <c r="O201" s="162"/>
      <c r="P201" s="162"/>
      <c r="Q201" s="162"/>
    </row>
    <row r="202" spans="2:17" x14ac:dyDescent="0.25">
      <c r="B202" s="120"/>
      <c r="C202" s="120"/>
      <c r="D202" s="120"/>
      <c r="E202" s="162"/>
      <c r="F202" s="162"/>
      <c r="G202" s="162"/>
      <c r="H202" s="162"/>
      <c r="I202" s="162"/>
      <c r="J202" s="162"/>
      <c r="K202" s="162"/>
      <c r="L202" s="162"/>
      <c r="M202" s="162"/>
      <c r="N202" s="162"/>
      <c r="O202" s="162"/>
      <c r="P202" s="162"/>
      <c r="Q202" s="162"/>
    </row>
    <row r="203" spans="2:17" x14ac:dyDescent="0.25">
      <c r="B203" s="120"/>
      <c r="C203" s="120"/>
      <c r="D203" s="120"/>
      <c r="E203" s="162"/>
      <c r="F203" s="162"/>
      <c r="G203" s="162"/>
      <c r="H203" s="162"/>
      <c r="I203" s="162"/>
      <c r="J203" s="162"/>
      <c r="K203" s="162"/>
      <c r="L203" s="162"/>
      <c r="M203" s="162"/>
      <c r="N203" s="162"/>
      <c r="O203" s="162"/>
      <c r="P203" s="162"/>
      <c r="Q203" s="162"/>
    </row>
    <row r="204" spans="2:17" x14ac:dyDescent="0.25">
      <c r="B204" s="120"/>
      <c r="C204" s="120"/>
      <c r="D204" s="120"/>
      <c r="E204" s="162"/>
      <c r="F204" s="162"/>
      <c r="G204" s="162"/>
      <c r="H204" s="162"/>
      <c r="I204" s="162"/>
      <c r="J204" s="162"/>
      <c r="K204" s="162"/>
      <c r="L204" s="162"/>
      <c r="M204" s="162"/>
      <c r="N204" s="162"/>
      <c r="O204" s="162"/>
      <c r="P204" s="162"/>
      <c r="Q204" s="162"/>
    </row>
    <row r="205" spans="2:17" x14ac:dyDescent="0.25">
      <c r="B205" s="120"/>
      <c r="C205" s="120"/>
      <c r="D205" s="120"/>
      <c r="E205" s="162"/>
      <c r="F205" s="162"/>
      <c r="G205" s="162"/>
      <c r="H205" s="162"/>
      <c r="I205" s="162"/>
      <c r="J205" s="162"/>
      <c r="K205" s="162"/>
      <c r="L205" s="162"/>
      <c r="M205" s="162"/>
      <c r="N205" s="162"/>
      <c r="O205" s="162"/>
      <c r="P205" s="162"/>
      <c r="Q205" s="162"/>
    </row>
    <row r="206" spans="2:17" x14ac:dyDescent="0.25">
      <c r="B206" s="120"/>
      <c r="C206" s="120"/>
      <c r="D206" s="120"/>
      <c r="E206" s="162"/>
      <c r="F206" s="162"/>
      <c r="G206" s="162"/>
      <c r="H206" s="162"/>
      <c r="I206" s="162"/>
      <c r="J206" s="162"/>
      <c r="K206" s="162"/>
      <c r="L206" s="162"/>
      <c r="M206" s="162"/>
      <c r="N206" s="162"/>
      <c r="O206" s="162"/>
      <c r="P206" s="162"/>
      <c r="Q206" s="162"/>
    </row>
    <row r="207" spans="2:17" x14ac:dyDescent="0.25">
      <c r="B207" s="120"/>
      <c r="C207" s="120"/>
      <c r="D207" s="120"/>
      <c r="E207" s="162"/>
      <c r="F207" s="162"/>
      <c r="G207" s="162"/>
      <c r="H207" s="162"/>
      <c r="I207" s="162"/>
      <c r="J207" s="162"/>
      <c r="K207" s="162"/>
      <c r="L207" s="162"/>
      <c r="M207" s="162"/>
      <c r="N207" s="162"/>
      <c r="O207" s="162"/>
      <c r="P207" s="162"/>
      <c r="Q207" s="162"/>
    </row>
    <row r="208" spans="2:17" x14ac:dyDescent="0.25">
      <c r="B208" s="120"/>
      <c r="C208" s="120"/>
      <c r="D208" s="120"/>
      <c r="E208" s="162"/>
      <c r="F208" s="162"/>
      <c r="G208" s="162"/>
      <c r="H208" s="162"/>
      <c r="I208" s="162"/>
      <c r="J208" s="162"/>
      <c r="K208" s="162"/>
      <c r="L208" s="162"/>
      <c r="M208" s="162"/>
      <c r="N208" s="162"/>
      <c r="O208" s="162"/>
      <c r="P208" s="162"/>
      <c r="Q208" s="162"/>
    </row>
    <row r="209" spans="2:17" x14ac:dyDescent="0.25">
      <c r="B209" s="120"/>
      <c r="C209" s="120"/>
      <c r="D209" s="120"/>
      <c r="E209" s="162"/>
      <c r="F209" s="162"/>
      <c r="G209" s="162"/>
      <c r="H209" s="162"/>
      <c r="I209" s="162"/>
      <c r="J209" s="162"/>
      <c r="K209" s="162"/>
      <c r="L209" s="162"/>
      <c r="M209" s="162"/>
      <c r="N209" s="162"/>
      <c r="O209" s="162"/>
      <c r="P209" s="162"/>
      <c r="Q209" s="162"/>
    </row>
    <row r="210" spans="2:17" x14ac:dyDescent="0.25">
      <c r="B210" s="120"/>
      <c r="C210" s="120"/>
      <c r="D210" s="120"/>
      <c r="E210" s="162"/>
      <c r="F210" s="162"/>
      <c r="G210" s="162"/>
      <c r="H210" s="162"/>
      <c r="I210" s="162"/>
      <c r="J210" s="162"/>
      <c r="K210" s="162"/>
      <c r="L210" s="162"/>
      <c r="M210" s="162"/>
      <c r="N210" s="162"/>
      <c r="O210" s="162"/>
      <c r="P210" s="162"/>
      <c r="Q210" s="162"/>
    </row>
    <row r="211" spans="2:17" x14ac:dyDescent="0.25">
      <c r="B211" s="120"/>
      <c r="C211" s="120"/>
      <c r="D211" s="120"/>
      <c r="E211" s="162"/>
      <c r="F211" s="162"/>
      <c r="G211" s="162"/>
      <c r="H211" s="162"/>
      <c r="I211" s="162"/>
      <c r="J211" s="162"/>
      <c r="K211" s="162"/>
      <c r="L211" s="162"/>
      <c r="M211" s="162"/>
      <c r="N211" s="162"/>
      <c r="O211" s="162"/>
      <c r="P211" s="162"/>
      <c r="Q211" s="162"/>
    </row>
    <row r="212" spans="2:17" x14ac:dyDescent="0.25">
      <c r="B212" s="120"/>
      <c r="C212" s="120"/>
      <c r="D212" s="120"/>
      <c r="E212" s="162"/>
      <c r="F212" s="162"/>
      <c r="G212" s="162"/>
      <c r="H212" s="162"/>
      <c r="I212" s="162"/>
      <c r="J212" s="162"/>
      <c r="K212" s="162"/>
      <c r="L212" s="162"/>
      <c r="M212" s="162"/>
      <c r="N212" s="162"/>
      <c r="O212" s="162"/>
      <c r="P212" s="162"/>
      <c r="Q212" s="162"/>
    </row>
    <row r="213" spans="2:17" x14ac:dyDescent="0.25">
      <c r="B213" s="120"/>
      <c r="C213" s="120"/>
      <c r="D213" s="120"/>
      <c r="E213" s="162"/>
      <c r="F213" s="162"/>
      <c r="G213" s="162"/>
      <c r="H213" s="162"/>
      <c r="I213" s="162"/>
      <c r="J213" s="162"/>
      <c r="K213" s="162"/>
      <c r="L213" s="162"/>
      <c r="M213" s="162"/>
      <c r="N213" s="162"/>
      <c r="O213" s="162"/>
      <c r="P213" s="162"/>
      <c r="Q213" s="162"/>
    </row>
    <row r="214" spans="2:17" x14ac:dyDescent="0.25">
      <c r="B214" s="120"/>
      <c r="C214" s="120"/>
      <c r="D214" s="120"/>
      <c r="E214" s="162"/>
      <c r="F214" s="162"/>
      <c r="G214" s="162"/>
      <c r="H214" s="162"/>
      <c r="I214" s="162"/>
      <c r="J214" s="162"/>
      <c r="K214" s="162"/>
      <c r="L214" s="162"/>
      <c r="M214" s="162"/>
      <c r="N214" s="162"/>
      <c r="O214" s="162"/>
      <c r="P214" s="162"/>
      <c r="Q214" s="162"/>
    </row>
    <row r="215" spans="2:17" x14ac:dyDescent="0.25">
      <c r="B215" s="120"/>
      <c r="C215" s="120"/>
      <c r="D215" s="120"/>
      <c r="E215" s="162"/>
      <c r="F215" s="162"/>
      <c r="G215" s="162"/>
      <c r="H215" s="162"/>
      <c r="I215" s="162"/>
      <c r="J215" s="162"/>
      <c r="K215" s="162"/>
      <c r="L215" s="162"/>
      <c r="M215" s="162"/>
      <c r="N215" s="162"/>
      <c r="O215" s="162"/>
      <c r="P215" s="162"/>
      <c r="Q215" s="162"/>
    </row>
    <row r="216" spans="2:17" x14ac:dyDescent="0.25">
      <c r="B216" s="120"/>
      <c r="C216" s="120"/>
      <c r="D216" s="120"/>
      <c r="E216" s="162"/>
      <c r="F216" s="162"/>
      <c r="G216" s="162"/>
      <c r="H216" s="162"/>
      <c r="I216" s="162"/>
      <c r="J216" s="162"/>
      <c r="K216" s="162"/>
      <c r="L216" s="162"/>
      <c r="M216" s="162"/>
      <c r="N216" s="162"/>
      <c r="O216" s="162"/>
      <c r="P216" s="162"/>
      <c r="Q216" s="162"/>
    </row>
    <row r="217" spans="2:17" x14ac:dyDescent="0.25">
      <c r="B217" s="120"/>
      <c r="C217" s="120"/>
      <c r="D217" s="120"/>
      <c r="E217" s="162"/>
      <c r="F217" s="162"/>
      <c r="G217" s="162"/>
      <c r="H217" s="162"/>
      <c r="I217" s="162"/>
      <c r="J217" s="162"/>
      <c r="K217" s="162"/>
      <c r="L217" s="162"/>
      <c r="M217" s="162"/>
      <c r="N217" s="162"/>
      <c r="O217" s="162"/>
      <c r="P217" s="162"/>
      <c r="Q217" s="162"/>
    </row>
    <row r="218" spans="2:17" x14ac:dyDescent="0.25">
      <c r="B218" s="120"/>
      <c r="C218" s="120"/>
      <c r="D218" s="120"/>
      <c r="E218" s="162"/>
      <c r="F218" s="162"/>
      <c r="G218" s="162"/>
      <c r="H218" s="162"/>
      <c r="I218" s="162"/>
      <c r="J218" s="162"/>
      <c r="K218" s="162"/>
      <c r="L218" s="162"/>
      <c r="M218" s="162"/>
      <c r="N218" s="162"/>
      <c r="O218" s="162"/>
      <c r="P218" s="162"/>
      <c r="Q218" s="162"/>
    </row>
    <row r="219" spans="2:17" x14ac:dyDescent="0.25">
      <c r="B219" s="120"/>
      <c r="C219" s="120"/>
      <c r="D219" s="120"/>
      <c r="E219" s="162"/>
      <c r="F219" s="162"/>
      <c r="G219" s="162"/>
      <c r="H219" s="162"/>
      <c r="I219" s="162"/>
      <c r="J219" s="162"/>
      <c r="K219" s="162"/>
      <c r="L219" s="162"/>
      <c r="M219" s="162"/>
      <c r="N219" s="162"/>
      <c r="O219" s="162"/>
      <c r="P219" s="162"/>
      <c r="Q219" s="162"/>
    </row>
    <row r="220" spans="2:17" x14ac:dyDescent="0.25">
      <c r="B220" s="120"/>
      <c r="C220" s="120"/>
      <c r="D220" s="120"/>
      <c r="E220" s="162"/>
      <c r="F220" s="162"/>
      <c r="G220" s="162"/>
      <c r="H220" s="162"/>
      <c r="I220" s="162"/>
      <c r="J220" s="162"/>
      <c r="K220" s="162"/>
      <c r="L220" s="162"/>
      <c r="M220" s="162"/>
      <c r="N220" s="162"/>
      <c r="O220" s="162"/>
      <c r="P220" s="162"/>
      <c r="Q220" s="162"/>
    </row>
    <row r="221" spans="2:17" x14ac:dyDescent="0.25">
      <c r="B221" s="120"/>
      <c r="C221" s="120"/>
      <c r="D221" s="120"/>
      <c r="E221" s="162"/>
      <c r="F221" s="162"/>
      <c r="G221" s="162"/>
      <c r="H221" s="162"/>
      <c r="I221" s="162"/>
      <c r="J221" s="162"/>
      <c r="K221" s="162"/>
      <c r="L221" s="162"/>
      <c r="M221" s="162"/>
      <c r="N221" s="162"/>
      <c r="O221" s="162"/>
      <c r="P221" s="162"/>
      <c r="Q221" s="162"/>
    </row>
    <row r="222" spans="2:17" x14ac:dyDescent="0.25">
      <c r="B222" s="120"/>
      <c r="C222" s="120"/>
      <c r="D222" s="120"/>
      <c r="E222" s="162"/>
      <c r="F222" s="162"/>
      <c r="G222" s="162"/>
      <c r="H222" s="162"/>
      <c r="I222" s="162"/>
      <c r="J222" s="162"/>
      <c r="K222" s="162"/>
      <c r="L222" s="162"/>
      <c r="M222" s="162"/>
      <c r="N222" s="162"/>
      <c r="O222" s="162"/>
      <c r="P222" s="162"/>
      <c r="Q222" s="162"/>
    </row>
    <row r="223" spans="2:17" x14ac:dyDescent="0.25">
      <c r="B223" s="120"/>
      <c r="C223" s="120"/>
      <c r="D223" s="120"/>
      <c r="E223" s="162"/>
      <c r="F223" s="162"/>
      <c r="G223" s="162"/>
      <c r="H223" s="162"/>
      <c r="I223" s="162"/>
      <c r="J223" s="162"/>
      <c r="K223" s="162"/>
      <c r="L223" s="162"/>
      <c r="M223" s="162"/>
      <c r="N223" s="162"/>
      <c r="O223" s="162"/>
      <c r="P223" s="162"/>
      <c r="Q223" s="162"/>
    </row>
    <row r="224" spans="2:17" x14ac:dyDescent="0.25">
      <c r="B224" s="120"/>
      <c r="C224" s="120"/>
      <c r="D224" s="120"/>
      <c r="E224" s="162"/>
      <c r="F224" s="162"/>
      <c r="G224" s="162"/>
      <c r="H224" s="162"/>
      <c r="I224" s="162"/>
      <c r="J224" s="162"/>
      <c r="K224" s="162"/>
      <c r="L224" s="162"/>
      <c r="M224" s="162"/>
      <c r="N224" s="162"/>
      <c r="O224" s="162"/>
      <c r="P224" s="162"/>
      <c r="Q224" s="162"/>
    </row>
    <row r="225" spans="2:17" x14ac:dyDescent="0.25">
      <c r="B225" s="120"/>
      <c r="C225" s="120"/>
      <c r="D225" s="120"/>
      <c r="E225" s="162"/>
      <c r="F225" s="162"/>
      <c r="G225" s="162"/>
      <c r="H225" s="162"/>
      <c r="I225" s="162"/>
      <c r="J225" s="162"/>
      <c r="K225" s="162"/>
      <c r="L225" s="162"/>
      <c r="M225" s="162"/>
      <c r="N225" s="162"/>
      <c r="O225" s="162"/>
      <c r="P225" s="162"/>
      <c r="Q225" s="162"/>
    </row>
    <row r="226" spans="2:17" x14ac:dyDescent="0.25">
      <c r="B226" s="120"/>
      <c r="C226" s="120"/>
      <c r="D226" s="120"/>
      <c r="E226" s="162"/>
      <c r="F226" s="162"/>
      <c r="G226" s="162"/>
      <c r="H226" s="162"/>
      <c r="I226" s="162"/>
      <c r="J226" s="162"/>
      <c r="K226" s="162"/>
      <c r="L226" s="162"/>
      <c r="M226" s="162"/>
      <c r="N226" s="162"/>
      <c r="O226" s="162"/>
      <c r="P226" s="162"/>
      <c r="Q226" s="162"/>
    </row>
    <row r="227" spans="2:17" x14ac:dyDescent="0.25">
      <c r="B227" s="120"/>
      <c r="C227" s="120"/>
      <c r="D227" s="120"/>
      <c r="E227" s="162"/>
      <c r="F227" s="162"/>
      <c r="G227" s="162"/>
      <c r="H227" s="162"/>
      <c r="I227" s="162"/>
      <c r="J227" s="162"/>
      <c r="K227" s="162"/>
      <c r="L227" s="162"/>
      <c r="M227" s="162"/>
      <c r="N227" s="162"/>
      <c r="O227" s="162"/>
      <c r="P227" s="162"/>
      <c r="Q227" s="162"/>
    </row>
    <row r="228" spans="2:17" x14ac:dyDescent="0.25">
      <c r="B228" s="120"/>
      <c r="C228" s="120"/>
      <c r="D228" s="120"/>
      <c r="E228" s="162"/>
      <c r="F228" s="162"/>
      <c r="G228" s="162"/>
      <c r="H228" s="162"/>
      <c r="I228" s="162"/>
      <c r="J228" s="162"/>
      <c r="K228" s="162"/>
      <c r="L228" s="162"/>
      <c r="M228" s="162"/>
      <c r="N228" s="162"/>
      <c r="O228" s="162"/>
      <c r="P228" s="162"/>
      <c r="Q228" s="162"/>
    </row>
    <row r="229" spans="2:17" x14ac:dyDescent="0.25">
      <c r="B229" s="120"/>
      <c r="C229" s="120"/>
      <c r="D229" s="120"/>
      <c r="E229" s="162"/>
      <c r="F229" s="162"/>
      <c r="G229" s="162"/>
      <c r="H229" s="162"/>
      <c r="I229" s="162"/>
      <c r="J229" s="162"/>
      <c r="K229" s="162"/>
      <c r="L229" s="162"/>
      <c r="M229" s="162"/>
      <c r="N229" s="162"/>
      <c r="O229" s="162"/>
      <c r="P229" s="162"/>
      <c r="Q229" s="162"/>
    </row>
    <row r="230" spans="2:17" x14ac:dyDescent="0.25">
      <c r="B230" s="120"/>
      <c r="C230" s="120"/>
      <c r="D230" s="120"/>
      <c r="E230" s="162"/>
      <c r="F230" s="162"/>
      <c r="G230" s="162"/>
      <c r="H230" s="162"/>
      <c r="I230" s="162"/>
      <c r="J230" s="162"/>
      <c r="K230" s="162"/>
      <c r="L230" s="162"/>
      <c r="M230" s="162"/>
      <c r="N230" s="162"/>
      <c r="O230" s="162"/>
      <c r="P230" s="162"/>
      <c r="Q230" s="162"/>
    </row>
    <row r="231" spans="2:17" x14ac:dyDescent="0.25">
      <c r="B231" s="120"/>
      <c r="C231" s="120"/>
      <c r="D231" s="120"/>
      <c r="E231" s="162"/>
      <c r="F231" s="162"/>
      <c r="G231" s="162"/>
      <c r="H231" s="162"/>
      <c r="I231" s="162"/>
      <c r="J231" s="162"/>
      <c r="K231" s="162"/>
      <c r="L231" s="162"/>
      <c r="M231" s="162"/>
      <c r="N231" s="162"/>
      <c r="O231" s="162"/>
      <c r="P231" s="162"/>
      <c r="Q231" s="162"/>
    </row>
    <row r="232" spans="2:17" x14ac:dyDescent="0.25">
      <c r="B232" s="120"/>
      <c r="C232" s="120"/>
      <c r="D232" s="120"/>
      <c r="E232" s="162"/>
      <c r="F232" s="162"/>
      <c r="G232" s="162"/>
      <c r="H232" s="162"/>
      <c r="I232" s="162"/>
      <c r="J232" s="162"/>
      <c r="K232" s="162"/>
      <c r="L232" s="162"/>
      <c r="M232" s="162"/>
      <c r="N232" s="162"/>
      <c r="O232" s="162"/>
      <c r="P232" s="162"/>
      <c r="Q232" s="162"/>
    </row>
    <row r="233" spans="2:17" x14ac:dyDescent="0.25">
      <c r="B233" s="120"/>
      <c r="C233" s="120"/>
      <c r="D233" s="120"/>
      <c r="E233" s="162"/>
      <c r="F233" s="162"/>
      <c r="G233" s="162"/>
      <c r="H233" s="162"/>
      <c r="I233" s="162"/>
      <c r="J233" s="162"/>
      <c r="K233" s="162"/>
      <c r="L233" s="162"/>
      <c r="M233" s="162"/>
      <c r="N233" s="162"/>
      <c r="O233" s="162"/>
      <c r="P233" s="162"/>
      <c r="Q233" s="162"/>
    </row>
    <row r="234" spans="2:17" x14ac:dyDescent="0.25">
      <c r="B234" s="120"/>
      <c r="C234" s="120"/>
      <c r="D234" s="120"/>
      <c r="E234" s="162"/>
      <c r="F234" s="162"/>
      <c r="G234" s="162"/>
      <c r="H234" s="162"/>
      <c r="I234" s="162"/>
      <c r="J234" s="162"/>
      <c r="K234" s="162"/>
      <c r="L234" s="162"/>
      <c r="M234" s="162"/>
      <c r="N234" s="162"/>
      <c r="O234" s="162"/>
      <c r="P234" s="162"/>
      <c r="Q234" s="162"/>
    </row>
    <row r="235" spans="2:17" x14ac:dyDescent="0.25">
      <c r="B235" s="120"/>
      <c r="C235" s="120"/>
      <c r="D235" s="120"/>
      <c r="E235" s="162"/>
      <c r="F235" s="162"/>
      <c r="G235" s="162"/>
      <c r="H235" s="162"/>
      <c r="I235" s="162"/>
      <c r="J235" s="162"/>
      <c r="K235" s="162"/>
      <c r="L235" s="162"/>
      <c r="M235" s="162"/>
      <c r="N235" s="162"/>
      <c r="O235" s="162"/>
      <c r="P235" s="162"/>
      <c r="Q235" s="162"/>
    </row>
    <row r="236" spans="2:17" x14ac:dyDescent="0.25">
      <c r="B236" s="120"/>
      <c r="C236" s="120"/>
      <c r="D236" s="120"/>
      <c r="E236" s="162"/>
      <c r="F236" s="162"/>
      <c r="G236" s="162"/>
      <c r="H236" s="162"/>
      <c r="I236" s="162"/>
      <c r="J236" s="162"/>
      <c r="K236" s="162"/>
      <c r="L236" s="162"/>
      <c r="M236" s="162"/>
      <c r="N236" s="162"/>
      <c r="O236" s="162"/>
      <c r="P236" s="162"/>
      <c r="Q236" s="162"/>
    </row>
    <row r="237" spans="2:17" x14ac:dyDescent="0.25">
      <c r="B237" s="120"/>
      <c r="C237" s="120"/>
      <c r="D237" s="120"/>
      <c r="E237" s="162"/>
      <c r="F237" s="162"/>
      <c r="G237" s="162"/>
      <c r="H237" s="162"/>
      <c r="I237" s="162"/>
      <c r="J237" s="162"/>
      <c r="K237" s="162"/>
      <c r="L237" s="162"/>
      <c r="M237" s="162"/>
      <c r="N237" s="162"/>
      <c r="O237" s="162"/>
      <c r="P237" s="162"/>
      <c r="Q237" s="162"/>
    </row>
    <row r="238" spans="2:17" x14ac:dyDescent="0.25">
      <c r="B238" s="120"/>
      <c r="C238" s="120"/>
      <c r="D238" s="120"/>
      <c r="E238" s="162"/>
      <c r="F238" s="162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</row>
    <row r="239" spans="2:17" x14ac:dyDescent="0.25">
      <c r="B239" s="120"/>
      <c r="C239" s="120"/>
      <c r="D239" s="120"/>
      <c r="E239" s="162"/>
      <c r="F239" s="162"/>
      <c r="G239" s="162"/>
      <c r="H239" s="162"/>
      <c r="I239" s="162"/>
      <c r="J239" s="162"/>
      <c r="K239" s="162"/>
      <c r="L239" s="162"/>
      <c r="M239" s="162"/>
      <c r="N239" s="162"/>
      <c r="O239" s="162"/>
      <c r="P239" s="162"/>
      <c r="Q239" s="162"/>
    </row>
    <row r="240" spans="2:17" x14ac:dyDescent="0.25">
      <c r="B240" s="120"/>
      <c r="C240" s="120"/>
      <c r="D240" s="120"/>
      <c r="E240" s="162"/>
      <c r="F240" s="162"/>
      <c r="G240" s="162"/>
      <c r="H240" s="162"/>
      <c r="I240" s="162"/>
      <c r="J240" s="162"/>
      <c r="K240" s="162"/>
      <c r="L240" s="162"/>
      <c r="M240" s="162"/>
      <c r="N240" s="162"/>
      <c r="O240" s="162"/>
      <c r="P240" s="162"/>
      <c r="Q240" s="162"/>
    </row>
    <row r="241" spans="2:17" x14ac:dyDescent="0.25">
      <c r="B241" s="120"/>
      <c r="C241" s="120"/>
      <c r="D241" s="120"/>
      <c r="E241" s="162"/>
      <c r="F241" s="162"/>
      <c r="G241" s="162"/>
      <c r="H241" s="162"/>
      <c r="I241" s="162"/>
      <c r="J241" s="162"/>
      <c r="K241" s="162"/>
      <c r="L241" s="162"/>
      <c r="M241" s="162"/>
      <c r="N241" s="162"/>
      <c r="O241" s="162"/>
      <c r="P241" s="162"/>
      <c r="Q241" s="162"/>
    </row>
    <row r="242" spans="2:17" x14ac:dyDescent="0.25">
      <c r="B242" s="120"/>
      <c r="C242" s="120"/>
      <c r="D242" s="120"/>
      <c r="E242" s="162"/>
      <c r="F242" s="162"/>
      <c r="G242" s="162"/>
      <c r="H242" s="162"/>
      <c r="I242" s="162"/>
      <c r="J242" s="162"/>
      <c r="K242" s="162"/>
      <c r="L242" s="162"/>
      <c r="M242" s="162"/>
      <c r="N242" s="162"/>
      <c r="O242" s="162"/>
      <c r="P242" s="162"/>
      <c r="Q242" s="162"/>
    </row>
    <row r="243" spans="2:17" x14ac:dyDescent="0.25">
      <c r="B243" s="120"/>
      <c r="C243" s="120"/>
      <c r="D243" s="120"/>
      <c r="E243" s="162"/>
      <c r="F243" s="162"/>
      <c r="G243" s="162"/>
      <c r="H243" s="162"/>
      <c r="I243" s="162"/>
      <c r="J243" s="162"/>
      <c r="K243" s="162"/>
      <c r="L243" s="162"/>
      <c r="M243" s="162"/>
      <c r="N243" s="162"/>
      <c r="O243" s="162"/>
      <c r="P243" s="162"/>
      <c r="Q243" s="162"/>
    </row>
    <row r="244" spans="2:17" x14ac:dyDescent="0.25">
      <c r="B244" s="120"/>
      <c r="C244" s="120"/>
      <c r="D244" s="120"/>
      <c r="E244" s="162"/>
      <c r="F244" s="162"/>
      <c r="G244" s="162"/>
      <c r="H244" s="162"/>
      <c r="I244" s="162"/>
      <c r="J244" s="162"/>
      <c r="K244" s="162"/>
      <c r="L244" s="162"/>
      <c r="M244" s="162"/>
      <c r="N244" s="162"/>
      <c r="O244" s="162"/>
      <c r="P244" s="162"/>
      <c r="Q244" s="162"/>
    </row>
    <row r="245" spans="2:17" x14ac:dyDescent="0.25">
      <c r="B245" s="120"/>
      <c r="C245" s="120"/>
      <c r="D245" s="120"/>
      <c r="E245" s="162"/>
      <c r="F245" s="162"/>
      <c r="G245" s="162"/>
      <c r="H245" s="162"/>
      <c r="I245" s="162"/>
      <c r="J245" s="162"/>
      <c r="K245" s="162"/>
      <c r="L245" s="162"/>
      <c r="M245" s="162"/>
      <c r="N245" s="162"/>
      <c r="O245" s="162"/>
      <c r="P245" s="162"/>
      <c r="Q245" s="162"/>
    </row>
    <row r="246" spans="2:17" x14ac:dyDescent="0.25">
      <c r="B246" s="120"/>
      <c r="C246" s="120"/>
      <c r="D246" s="120"/>
      <c r="E246" s="162"/>
      <c r="F246" s="162"/>
      <c r="G246" s="162"/>
      <c r="H246" s="162"/>
      <c r="I246" s="162"/>
      <c r="J246" s="162"/>
      <c r="K246" s="162"/>
      <c r="L246" s="162"/>
      <c r="M246" s="162"/>
      <c r="N246" s="162"/>
      <c r="O246" s="162"/>
      <c r="P246" s="162"/>
      <c r="Q246" s="162"/>
    </row>
    <row r="247" spans="2:17" x14ac:dyDescent="0.25">
      <c r="B247" s="120"/>
      <c r="C247" s="120"/>
      <c r="D247" s="120"/>
      <c r="E247" s="162"/>
      <c r="F247" s="162"/>
      <c r="G247" s="162"/>
      <c r="H247" s="162"/>
      <c r="I247" s="162"/>
      <c r="J247" s="162"/>
      <c r="K247" s="162"/>
      <c r="L247" s="162"/>
      <c r="M247" s="162"/>
      <c r="N247" s="162"/>
      <c r="O247" s="162"/>
      <c r="P247" s="162"/>
      <c r="Q247" s="162"/>
    </row>
    <row r="248" spans="2:17" x14ac:dyDescent="0.25">
      <c r="B248" s="120"/>
      <c r="C248" s="120"/>
      <c r="D248" s="120"/>
      <c r="E248" s="162"/>
      <c r="F248" s="162"/>
      <c r="G248" s="162"/>
      <c r="H248" s="162"/>
      <c r="I248" s="162"/>
      <c r="J248" s="162"/>
      <c r="K248" s="162"/>
      <c r="L248" s="162"/>
      <c r="M248" s="162"/>
      <c r="N248" s="162"/>
      <c r="O248" s="162"/>
      <c r="P248" s="162"/>
      <c r="Q248" s="162"/>
    </row>
    <row r="249" spans="2:17" x14ac:dyDescent="0.25">
      <c r="B249" s="120"/>
      <c r="C249" s="120"/>
      <c r="D249" s="120"/>
      <c r="E249" s="162"/>
      <c r="F249" s="162"/>
      <c r="G249" s="162"/>
      <c r="H249" s="162"/>
      <c r="I249" s="162"/>
      <c r="J249" s="162"/>
      <c r="K249" s="162"/>
      <c r="L249" s="162"/>
      <c r="M249" s="162"/>
      <c r="N249" s="162"/>
      <c r="O249" s="162"/>
      <c r="P249" s="162"/>
      <c r="Q249" s="162"/>
    </row>
    <row r="250" spans="2:17" x14ac:dyDescent="0.25">
      <c r="B250" s="120"/>
      <c r="C250" s="120"/>
      <c r="D250" s="120"/>
      <c r="E250" s="162"/>
      <c r="F250" s="162"/>
      <c r="G250" s="162"/>
      <c r="H250" s="162"/>
      <c r="I250" s="162"/>
      <c r="J250" s="162"/>
      <c r="K250" s="162"/>
      <c r="L250" s="162"/>
      <c r="M250" s="162"/>
      <c r="N250" s="162"/>
      <c r="O250" s="162"/>
      <c r="P250" s="162"/>
      <c r="Q250" s="162"/>
    </row>
    <row r="251" spans="2:17" x14ac:dyDescent="0.25">
      <c r="B251" s="120"/>
      <c r="C251" s="120"/>
      <c r="D251" s="120"/>
      <c r="E251" s="162"/>
      <c r="F251" s="162"/>
      <c r="G251" s="162"/>
      <c r="H251" s="162"/>
      <c r="I251" s="162"/>
      <c r="J251" s="162"/>
      <c r="K251" s="162"/>
      <c r="L251" s="162"/>
      <c r="M251" s="162"/>
      <c r="N251" s="162"/>
      <c r="O251" s="162"/>
      <c r="P251" s="162"/>
      <c r="Q251" s="162"/>
    </row>
    <row r="252" spans="2:17" x14ac:dyDescent="0.25">
      <c r="B252" s="120"/>
      <c r="C252" s="120"/>
      <c r="D252" s="120"/>
      <c r="E252" s="162"/>
      <c r="F252" s="162"/>
      <c r="G252" s="162"/>
      <c r="H252" s="162"/>
      <c r="I252" s="162"/>
      <c r="J252" s="162"/>
      <c r="K252" s="162"/>
      <c r="L252" s="162"/>
      <c r="M252" s="162"/>
      <c r="N252" s="162"/>
      <c r="O252" s="162"/>
      <c r="P252" s="162"/>
      <c r="Q252" s="162"/>
    </row>
    <row r="253" spans="2:17" x14ac:dyDescent="0.25">
      <c r="B253" s="120"/>
      <c r="C253" s="120"/>
      <c r="D253" s="120"/>
      <c r="E253" s="162"/>
      <c r="F253" s="162"/>
      <c r="G253" s="162"/>
      <c r="H253" s="162"/>
      <c r="I253" s="162"/>
      <c r="J253" s="162"/>
      <c r="K253" s="162"/>
      <c r="L253" s="162"/>
      <c r="M253" s="162"/>
      <c r="N253" s="162"/>
      <c r="O253" s="162"/>
      <c r="P253" s="162"/>
      <c r="Q253" s="162"/>
    </row>
    <row r="254" spans="2:17" x14ac:dyDescent="0.25">
      <c r="B254" s="120"/>
      <c r="C254" s="120"/>
      <c r="D254" s="120"/>
      <c r="E254" s="162"/>
      <c r="F254" s="162"/>
      <c r="G254" s="162"/>
      <c r="H254" s="162"/>
      <c r="I254" s="162"/>
      <c r="J254" s="162"/>
      <c r="K254" s="162"/>
      <c r="L254" s="162"/>
      <c r="M254" s="162"/>
      <c r="N254" s="162"/>
      <c r="O254" s="162"/>
      <c r="P254" s="162"/>
      <c r="Q254" s="162"/>
    </row>
    <row r="255" spans="2:17" x14ac:dyDescent="0.25">
      <c r="B255" s="120"/>
      <c r="C255" s="120"/>
      <c r="D255" s="120"/>
      <c r="E255" s="162"/>
      <c r="F255" s="162"/>
      <c r="G255" s="162"/>
      <c r="H255" s="162"/>
      <c r="I255" s="162"/>
      <c r="J255" s="162"/>
      <c r="K255" s="162"/>
      <c r="L255" s="162"/>
      <c r="M255" s="162"/>
      <c r="N255" s="162"/>
      <c r="O255" s="162"/>
      <c r="P255" s="162"/>
      <c r="Q255" s="162"/>
    </row>
    <row r="256" spans="2:17" x14ac:dyDescent="0.25">
      <c r="B256" s="120"/>
      <c r="C256" s="120"/>
      <c r="D256" s="120"/>
      <c r="E256" s="162"/>
      <c r="F256" s="162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</row>
    <row r="257" spans="2:17" x14ac:dyDescent="0.25">
      <c r="B257" s="120"/>
      <c r="C257" s="120"/>
      <c r="D257" s="120"/>
      <c r="E257" s="162"/>
      <c r="F257" s="162"/>
      <c r="G257" s="162"/>
      <c r="H257" s="162"/>
      <c r="I257" s="162"/>
      <c r="J257" s="162"/>
      <c r="K257" s="162"/>
      <c r="L257" s="162"/>
      <c r="M257" s="162"/>
      <c r="N257" s="162"/>
      <c r="O257" s="162"/>
      <c r="P257" s="162"/>
      <c r="Q257" s="162"/>
    </row>
    <row r="258" spans="2:17" x14ac:dyDescent="0.25">
      <c r="B258" s="120"/>
      <c r="C258" s="120"/>
      <c r="D258" s="120"/>
      <c r="E258" s="162"/>
      <c r="F258" s="162"/>
      <c r="G258" s="162"/>
      <c r="H258" s="162"/>
      <c r="I258" s="162"/>
      <c r="J258" s="162"/>
      <c r="K258" s="162"/>
      <c r="L258" s="162"/>
      <c r="M258" s="162"/>
      <c r="N258" s="162"/>
      <c r="O258" s="162"/>
      <c r="P258" s="162"/>
      <c r="Q258" s="162"/>
    </row>
    <row r="259" spans="2:17" x14ac:dyDescent="0.25">
      <c r="B259" s="120"/>
      <c r="C259" s="120"/>
      <c r="D259" s="120"/>
      <c r="E259" s="162"/>
      <c r="F259" s="162"/>
      <c r="G259" s="162"/>
      <c r="H259" s="162"/>
      <c r="I259" s="162"/>
      <c r="J259" s="162"/>
      <c r="K259" s="162"/>
      <c r="L259" s="162"/>
      <c r="M259" s="162"/>
      <c r="N259" s="162"/>
      <c r="O259" s="162"/>
      <c r="P259" s="162"/>
      <c r="Q259" s="162"/>
    </row>
    <row r="260" spans="2:17" x14ac:dyDescent="0.25">
      <c r="B260" s="120"/>
      <c r="C260" s="120"/>
      <c r="D260" s="120"/>
      <c r="E260" s="162"/>
      <c r="F260" s="162"/>
      <c r="G260" s="162"/>
      <c r="H260" s="162"/>
      <c r="I260" s="162"/>
      <c r="J260" s="162"/>
      <c r="K260" s="162"/>
      <c r="L260" s="162"/>
      <c r="M260" s="162"/>
      <c r="N260" s="162"/>
      <c r="O260" s="162"/>
      <c r="P260" s="162"/>
      <c r="Q260" s="162"/>
    </row>
    <row r="261" spans="2:17" x14ac:dyDescent="0.25">
      <c r="B261" s="120"/>
      <c r="C261" s="120"/>
      <c r="D261" s="120"/>
      <c r="E261" s="162"/>
      <c r="F261" s="162"/>
      <c r="G261" s="162"/>
      <c r="H261" s="162"/>
      <c r="I261" s="162"/>
      <c r="J261" s="162"/>
      <c r="K261" s="162"/>
      <c r="L261" s="162"/>
      <c r="M261" s="162"/>
      <c r="N261" s="162"/>
      <c r="O261" s="162"/>
      <c r="P261" s="162"/>
      <c r="Q261" s="162"/>
    </row>
    <row r="262" spans="2:17" x14ac:dyDescent="0.25">
      <c r="B262" s="120"/>
      <c r="C262" s="120"/>
      <c r="D262" s="120"/>
      <c r="E262" s="162"/>
      <c r="F262" s="162"/>
      <c r="G262" s="162"/>
      <c r="H262" s="162"/>
      <c r="I262" s="162"/>
      <c r="J262" s="162"/>
      <c r="K262" s="162"/>
      <c r="L262" s="162"/>
      <c r="M262" s="162"/>
      <c r="N262" s="162"/>
      <c r="O262" s="162"/>
      <c r="P262" s="162"/>
      <c r="Q262" s="162"/>
    </row>
    <row r="263" spans="2:17" x14ac:dyDescent="0.25">
      <c r="B263" s="120"/>
      <c r="C263" s="120"/>
      <c r="D263" s="120"/>
      <c r="E263" s="162"/>
      <c r="F263" s="162"/>
      <c r="G263" s="162"/>
      <c r="H263" s="162"/>
      <c r="I263" s="162"/>
      <c r="J263" s="162"/>
      <c r="K263" s="162"/>
      <c r="L263" s="162"/>
      <c r="M263" s="162"/>
      <c r="N263" s="162"/>
      <c r="O263" s="162"/>
      <c r="P263" s="162"/>
      <c r="Q263" s="162"/>
    </row>
    <row r="264" spans="2:17" x14ac:dyDescent="0.25">
      <c r="B264" s="120"/>
      <c r="C264" s="120"/>
      <c r="D264" s="120"/>
      <c r="E264" s="162"/>
      <c r="F264" s="162"/>
      <c r="G264" s="162"/>
      <c r="H264" s="162"/>
      <c r="I264" s="162"/>
      <c r="J264" s="162"/>
      <c r="K264" s="162"/>
      <c r="L264" s="162"/>
      <c r="M264" s="162"/>
      <c r="N264" s="162"/>
      <c r="O264" s="162"/>
      <c r="P264" s="162"/>
      <c r="Q264" s="162"/>
    </row>
    <row r="265" spans="2:17" x14ac:dyDescent="0.25">
      <c r="B265" s="120"/>
      <c r="C265" s="120"/>
      <c r="D265" s="120"/>
      <c r="E265" s="162"/>
      <c r="F265" s="162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  <c r="Q265" s="162"/>
    </row>
    <row r="266" spans="2:17" x14ac:dyDescent="0.25">
      <c r="B266" s="120"/>
      <c r="C266" s="120"/>
      <c r="D266" s="120"/>
      <c r="E266" s="162"/>
      <c r="F266" s="162"/>
      <c r="G266" s="162"/>
      <c r="H266" s="162"/>
      <c r="I266" s="162"/>
      <c r="J266" s="162"/>
      <c r="K266" s="162"/>
      <c r="L266" s="162"/>
      <c r="M266" s="162"/>
      <c r="N266" s="162"/>
      <c r="O266" s="162"/>
      <c r="P266" s="162"/>
      <c r="Q266" s="162"/>
    </row>
    <row r="267" spans="2:17" x14ac:dyDescent="0.25">
      <c r="B267" s="120"/>
      <c r="C267" s="120"/>
      <c r="D267" s="120"/>
      <c r="E267" s="162"/>
      <c r="F267" s="162"/>
      <c r="G267" s="162"/>
      <c r="H267" s="162"/>
      <c r="I267" s="162"/>
      <c r="J267" s="162"/>
      <c r="K267" s="162"/>
      <c r="L267" s="162"/>
      <c r="M267" s="162"/>
      <c r="N267" s="162"/>
      <c r="O267" s="162"/>
      <c r="P267" s="162"/>
      <c r="Q267" s="162"/>
    </row>
    <row r="268" spans="2:17" x14ac:dyDescent="0.25">
      <c r="B268" s="120"/>
      <c r="C268" s="120"/>
      <c r="D268" s="120"/>
      <c r="E268" s="162"/>
      <c r="F268" s="162"/>
      <c r="G268" s="162"/>
      <c r="H268" s="162"/>
      <c r="I268" s="162"/>
      <c r="J268" s="162"/>
      <c r="K268" s="162"/>
      <c r="L268" s="162"/>
      <c r="M268" s="162"/>
      <c r="N268" s="162"/>
      <c r="O268" s="162"/>
      <c r="P268" s="162"/>
      <c r="Q268" s="162"/>
    </row>
    <row r="269" spans="2:17" x14ac:dyDescent="0.25">
      <c r="B269" s="120"/>
      <c r="C269" s="120"/>
      <c r="D269" s="120"/>
      <c r="E269" s="162"/>
      <c r="F269" s="162"/>
      <c r="G269" s="162"/>
      <c r="H269" s="162"/>
      <c r="I269" s="162"/>
      <c r="J269" s="162"/>
      <c r="K269" s="162"/>
      <c r="L269" s="162"/>
      <c r="M269" s="162"/>
      <c r="N269" s="162"/>
      <c r="O269" s="162"/>
      <c r="P269" s="162"/>
      <c r="Q269" s="162"/>
    </row>
    <row r="270" spans="2:17" x14ac:dyDescent="0.25">
      <c r="B270" s="120"/>
      <c r="C270" s="120"/>
      <c r="D270" s="120"/>
      <c r="E270" s="162"/>
      <c r="F270" s="162"/>
      <c r="G270" s="162"/>
      <c r="H270" s="162"/>
      <c r="I270" s="162"/>
      <c r="J270" s="162"/>
      <c r="K270" s="162"/>
      <c r="L270" s="162"/>
      <c r="M270" s="162"/>
      <c r="N270" s="162"/>
      <c r="O270" s="162"/>
      <c r="P270" s="162"/>
      <c r="Q270" s="162"/>
    </row>
    <row r="271" spans="2:17" x14ac:dyDescent="0.25">
      <c r="B271" s="120"/>
      <c r="C271" s="120"/>
      <c r="D271" s="120"/>
      <c r="E271" s="162"/>
      <c r="F271" s="162"/>
      <c r="G271" s="162"/>
      <c r="H271" s="162"/>
      <c r="I271" s="162"/>
      <c r="J271" s="162"/>
      <c r="K271" s="162"/>
      <c r="L271" s="162"/>
      <c r="M271" s="162"/>
      <c r="N271" s="162"/>
      <c r="O271" s="162"/>
      <c r="P271" s="162"/>
      <c r="Q271" s="162"/>
    </row>
    <row r="272" spans="2:17" x14ac:dyDescent="0.25">
      <c r="B272" s="120"/>
      <c r="C272" s="120"/>
      <c r="D272" s="120"/>
      <c r="E272" s="162"/>
      <c r="F272" s="162"/>
      <c r="G272" s="162"/>
      <c r="H272" s="162"/>
      <c r="I272" s="162"/>
      <c r="J272" s="162"/>
      <c r="K272" s="162"/>
      <c r="L272" s="162"/>
      <c r="M272" s="162"/>
      <c r="N272" s="162"/>
      <c r="O272" s="162"/>
      <c r="P272" s="162"/>
      <c r="Q272" s="162"/>
    </row>
    <row r="273" spans="2:17" x14ac:dyDescent="0.25">
      <c r="B273" s="120"/>
      <c r="C273" s="120"/>
      <c r="D273" s="120"/>
      <c r="E273" s="162"/>
      <c r="F273" s="162"/>
      <c r="G273" s="162"/>
      <c r="H273" s="162"/>
      <c r="I273" s="162"/>
      <c r="J273" s="162"/>
      <c r="K273" s="162"/>
      <c r="L273" s="162"/>
      <c r="M273" s="162"/>
      <c r="N273" s="162"/>
      <c r="O273" s="162"/>
      <c r="P273" s="162"/>
      <c r="Q273" s="162"/>
    </row>
    <row r="274" spans="2:17" x14ac:dyDescent="0.25">
      <c r="B274" s="120"/>
      <c r="C274" s="120"/>
      <c r="D274" s="120"/>
      <c r="E274" s="162"/>
      <c r="F274" s="162"/>
      <c r="G274" s="162"/>
      <c r="H274" s="162"/>
      <c r="I274" s="162"/>
      <c r="J274" s="162"/>
      <c r="K274" s="162"/>
      <c r="L274" s="162"/>
      <c r="M274" s="162"/>
      <c r="N274" s="162"/>
      <c r="O274" s="162"/>
      <c r="P274" s="162"/>
      <c r="Q274" s="162"/>
    </row>
    <row r="275" spans="2:17" x14ac:dyDescent="0.25">
      <c r="B275" s="120"/>
      <c r="C275" s="120"/>
      <c r="D275" s="120"/>
      <c r="E275" s="162"/>
      <c r="F275" s="162"/>
      <c r="G275" s="162"/>
      <c r="H275" s="162"/>
      <c r="I275" s="162"/>
      <c r="J275" s="162"/>
      <c r="K275" s="162"/>
      <c r="L275" s="162"/>
      <c r="M275" s="162"/>
      <c r="N275" s="162"/>
      <c r="O275" s="162"/>
      <c r="P275" s="162"/>
      <c r="Q275" s="162"/>
    </row>
    <row r="276" spans="2:17" x14ac:dyDescent="0.25">
      <c r="B276" s="120"/>
      <c r="C276" s="120"/>
      <c r="D276" s="120"/>
      <c r="E276" s="162"/>
      <c r="F276" s="162"/>
      <c r="G276" s="162"/>
      <c r="H276" s="162"/>
      <c r="I276" s="162"/>
      <c r="J276" s="162"/>
      <c r="K276" s="162"/>
      <c r="L276" s="162"/>
      <c r="M276" s="162"/>
      <c r="N276" s="162"/>
      <c r="O276" s="162"/>
      <c r="P276" s="162"/>
      <c r="Q276" s="162"/>
    </row>
    <row r="277" spans="2:17" x14ac:dyDescent="0.25">
      <c r="B277" s="120"/>
      <c r="C277" s="120"/>
      <c r="D277" s="120"/>
      <c r="E277" s="162"/>
      <c r="F277" s="162"/>
      <c r="G277" s="162"/>
      <c r="H277" s="162"/>
      <c r="I277" s="162"/>
      <c r="J277" s="162"/>
      <c r="K277" s="162"/>
      <c r="L277" s="162"/>
      <c r="M277" s="162"/>
      <c r="N277" s="162"/>
      <c r="O277" s="162"/>
      <c r="P277" s="162"/>
      <c r="Q277" s="162"/>
    </row>
    <row r="278" spans="2:17" x14ac:dyDescent="0.25">
      <c r="B278" s="120"/>
      <c r="C278" s="120"/>
      <c r="D278" s="120"/>
      <c r="E278" s="162"/>
      <c r="F278" s="162"/>
      <c r="G278" s="162"/>
      <c r="H278" s="162"/>
      <c r="I278" s="162"/>
      <c r="J278" s="162"/>
      <c r="K278" s="162"/>
      <c r="L278" s="162"/>
      <c r="M278" s="162"/>
      <c r="N278" s="162"/>
      <c r="O278" s="162"/>
      <c r="P278" s="162"/>
      <c r="Q278" s="162"/>
    </row>
    <row r="279" spans="2:17" x14ac:dyDescent="0.25">
      <c r="B279" s="120"/>
      <c r="C279" s="120"/>
      <c r="D279" s="120"/>
      <c r="E279" s="162"/>
      <c r="F279" s="162"/>
      <c r="G279" s="162"/>
      <c r="H279" s="162"/>
      <c r="I279" s="162"/>
      <c r="J279" s="162"/>
      <c r="K279" s="162"/>
      <c r="L279" s="162"/>
      <c r="M279" s="162"/>
      <c r="N279" s="162"/>
      <c r="O279" s="162"/>
      <c r="P279" s="162"/>
      <c r="Q279" s="162"/>
    </row>
    <row r="280" spans="2:17" x14ac:dyDescent="0.25">
      <c r="B280" s="120"/>
      <c r="C280" s="120"/>
      <c r="D280" s="120"/>
      <c r="E280" s="162"/>
      <c r="F280" s="162"/>
      <c r="G280" s="162"/>
      <c r="H280" s="162"/>
      <c r="I280" s="162"/>
      <c r="J280" s="162"/>
      <c r="K280" s="162"/>
      <c r="L280" s="162"/>
      <c r="M280" s="162"/>
      <c r="N280" s="162"/>
      <c r="O280" s="162"/>
      <c r="P280" s="162"/>
      <c r="Q280" s="162"/>
    </row>
    <row r="281" spans="2:17" x14ac:dyDescent="0.25">
      <c r="B281" s="120"/>
      <c r="C281" s="120"/>
      <c r="D281" s="120"/>
      <c r="E281" s="162"/>
      <c r="F281" s="162"/>
      <c r="G281" s="162"/>
      <c r="H281" s="162"/>
      <c r="I281" s="162"/>
      <c r="J281" s="162"/>
      <c r="K281" s="162"/>
      <c r="L281" s="162"/>
      <c r="M281" s="162"/>
      <c r="N281" s="162"/>
      <c r="O281" s="162"/>
      <c r="P281" s="162"/>
      <c r="Q281" s="162"/>
    </row>
    <row r="282" spans="2:17" x14ac:dyDescent="0.25">
      <c r="B282" s="120"/>
      <c r="C282" s="120"/>
      <c r="D282" s="120"/>
      <c r="E282" s="162"/>
      <c r="F282" s="162"/>
      <c r="G282" s="162"/>
      <c r="H282" s="162"/>
      <c r="I282" s="162"/>
      <c r="J282" s="162"/>
      <c r="K282" s="162"/>
      <c r="L282" s="162"/>
      <c r="M282" s="162"/>
      <c r="N282" s="162"/>
      <c r="O282" s="162"/>
      <c r="P282" s="162"/>
      <c r="Q282" s="162"/>
    </row>
    <row r="283" spans="2:17" x14ac:dyDescent="0.25">
      <c r="B283" s="120"/>
      <c r="C283" s="120"/>
      <c r="D283" s="120"/>
      <c r="E283" s="162"/>
      <c r="F283" s="162"/>
      <c r="G283" s="162"/>
      <c r="H283" s="162"/>
      <c r="I283" s="162"/>
      <c r="J283" s="162"/>
      <c r="K283" s="162"/>
      <c r="L283" s="162"/>
      <c r="M283" s="162"/>
      <c r="N283" s="162"/>
      <c r="O283" s="162"/>
      <c r="P283" s="162"/>
      <c r="Q283" s="162"/>
    </row>
    <row r="284" spans="2:17" x14ac:dyDescent="0.25">
      <c r="B284" s="120"/>
      <c r="C284" s="120"/>
      <c r="D284" s="120"/>
      <c r="E284" s="162"/>
      <c r="F284" s="162"/>
      <c r="G284" s="162"/>
      <c r="H284" s="162"/>
      <c r="I284" s="162"/>
      <c r="J284" s="162"/>
      <c r="K284" s="162"/>
      <c r="L284" s="162"/>
      <c r="M284" s="162"/>
      <c r="N284" s="162"/>
      <c r="O284" s="162"/>
      <c r="P284" s="162"/>
      <c r="Q284" s="162"/>
    </row>
    <row r="285" spans="2:17" x14ac:dyDescent="0.25">
      <c r="B285" s="120"/>
      <c r="C285" s="120"/>
      <c r="D285" s="120"/>
      <c r="E285" s="162"/>
      <c r="F285" s="162"/>
      <c r="G285" s="162"/>
      <c r="H285" s="162"/>
      <c r="I285" s="162"/>
      <c r="J285" s="162"/>
      <c r="K285" s="162"/>
      <c r="L285" s="162"/>
      <c r="M285" s="162"/>
      <c r="N285" s="162"/>
      <c r="O285" s="162"/>
      <c r="P285" s="162"/>
      <c r="Q285" s="162"/>
    </row>
    <row r="286" spans="2:17" x14ac:dyDescent="0.25">
      <c r="B286" s="120"/>
      <c r="C286" s="120"/>
      <c r="D286" s="120"/>
      <c r="E286" s="162"/>
      <c r="F286" s="162"/>
      <c r="G286" s="162"/>
      <c r="H286" s="162"/>
      <c r="I286" s="162"/>
      <c r="J286" s="162"/>
      <c r="K286" s="162"/>
      <c r="L286" s="162"/>
      <c r="M286" s="162"/>
      <c r="N286" s="162"/>
      <c r="O286" s="162"/>
      <c r="P286" s="162"/>
      <c r="Q286" s="162"/>
    </row>
    <row r="287" spans="2:17" x14ac:dyDescent="0.25">
      <c r="B287" s="120"/>
      <c r="C287" s="120"/>
      <c r="D287" s="120"/>
      <c r="E287" s="162"/>
      <c r="F287" s="162"/>
      <c r="G287" s="162"/>
      <c r="H287" s="162"/>
      <c r="I287" s="162"/>
      <c r="J287" s="162"/>
      <c r="K287" s="162"/>
      <c r="L287" s="162"/>
      <c r="M287" s="162"/>
      <c r="N287" s="162"/>
      <c r="O287" s="162"/>
      <c r="P287" s="162"/>
      <c r="Q287" s="162"/>
    </row>
    <row r="288" spans="2:17" x14ac:dyDescent="0.25">
      <c r="B288" s="120"/>
      <c r="C288" s="120"/>
      <c r="D288" s="120"/>
      <c r="E288" s="162"/>
      <c r="F288" s="162"/>
      <c r="G288" s="162"/>
      <c r="H288" s="162"/>
      <c r="I288" s="162"/>
      <c r="J288" s="162"/>
      <c r="K288" s="162"/>
      <c r="L288" s="162"/>
      <c r="M288" s="162"/>
      <c r="N288" s="162"/>
      <c r="O288" s="162"/>
      <c r="P288" s="162"/>
      <c r="Q288" s="162"/>
    </row>
    <row r="289" spans="2:17" x14ac:dyDescent="0.25">
      <c r="B289" s="120"/>
      <c r="C289" s="120"/>
      <c r="D289" s="120"/>
      <c r="E289" s="162"/>
      <c r="F289" s="162"/>
      <c r="G289" s="162"/>
      <c r="H289" s="162"/>
      <c r="I289" s="162"/>
      <c r="J289" s="162"/>
      <c r="K289" s="162"/>
      <c r="L289" s="162"/>
      <c r="M289" s="162"/>
      <c r="N289" s="162"/>
      <c r="O289" s="162"/>
      <c r="P289" s="162"/>
      <c r="Q289" s="162"/>
    </row>
    <row r="290" spans="2:17" x14ac:dyDescent="0.25">
      <c r="B290" s="120"/>
      <c r="C290" s="120"/>
      <c r="D290" s="120"/>
      <c r="E290" s="162"/>
      <c r="F290" s="162"/>
      <c r="G290" s="162"/>
      <c r="H290" s="162"/>
      <c r="I290" s="162"/>
      <c r="J290" s="162"/>
      <c r="K290" s="162"/>
      <c r="L290" s="162"/>
      <c r="M290" s="162"/>
      <c r="N290" s="162"/>
      <c r="O290" s="162"/>
      <c r="P290" s="162"/>
      <c r="Q290" s="162"/>
    </row>
    <row r="291" spans="2:17" x14ac:dyDescent="0.25">
      <c r="B291" s="120"/>
      <c r="C291" s="120"/>
      <c r="D291" s="120"/>
      <c r="E291" s="162"/>
      <c r="F291" s="162"/>
      <c r="G291" s="162"/>
      <c r="H291" s="162"/>
      <c r="I291" s="162"/>
      <c r="J291" s="162"/>
      <c r="K291" s="162"/>
      <c r="L291" s="162"/>
      <c r="M291" s="162"/>
      <c r="N291" s="162"/>
      <c r="O291" s="162"/>
      <c r="P291" s="162"/>
      <c r="Q291" s="162"/>
    </row>
    <row r="292" spans="2:17" x14ac:dyDescent="0.25">
      <c r="B292" s="120"/>
      <c r="C292" s="120"/>
      <c r="D292" s="120"/>
      <c r="E292" s="162"/>
      <c r="F292" s="162"/>
      <c r="G292" s="162"/>
      <c r="H292" s="162"/>
      <c r="I292" s="162"/>
      <c r="J292" s="162"/>
      <c r="K292" s="162"/>
      <c r="L292" s="162"/>
      <c r="M292" s="162"/>
      <c r="N292" s="162"/>
      <c r="O292" s="162"/>
      <c r="P292" s="162"/>
      <c r="Q292" s="162"/>
    </row>
    <row r="293" spans="2:17" x14ac:dyDescent="0.25">
      <c r="B293" s="120"/>
      <c r="C293" s="120"/>
      <c r="D293" s="120"/>
      <c r="E293" s="162"/>
      <c r="F293" s="162"/>
      <c r="G293" s="162"/>
      <c r="H293" s="162"/>
      <c r="I293" s="162"/>
      <c r="J293" s="162"/>
      <c r="K293" s="162"/>
      <c r="L293" s="162"/>
      <c r="M293" s="162"/>
      <c r="N293" s="162"/>
      <c r="O293" s="162"/>
      <c r="P293" s="162"/>
      <c r="Q293" s="162"/>
    </row>
    <row r="294" spans="2:17" x14ac:dyDescent="0.25">
      <c r="B294" s="120"/>
      <c r="C294" s="120"/>
      <c r="D294" s="120"/>
      <c r="E294" s="162"/>
      <c r="F294" s="162"/>
      <c r="G294" s="162"/>
      <c r="H294" s="162"/>
      <c r="I294" s="162"/>
      <c r="J294" s="162"/>
      <c r="K294" s="162"/>
      <c r="L294" s="162"/>
      <c r="M294" s="162"/>
      <c r="N294" s="162"/>
      <c r="O294" s="162"/>
      <c r="P294" s="162"/>
      <c r="Q294" s="162"/>
    </row>
    <row r="295" spans="2:17" x14ac:dyDescent="0.25">
      <c r="B295" s="120"/>
      <c r="C295" s="120"/>
      <c r="D295" s="120"/>
      <c r="E295" s="162"/>
      <c r="F295" s="162"/>
      <c r="G295" s="162"/>
      <c r="H295" s="162"/>
      <c r="I295" s="162"/>
      <c r="J295" s="162"/>
      <c r="K295" s="162"/>
      <c r="L295" s="162"/>
      <c r="M295" s="162"/>
      <c r="N295" s="162"/>
      <c r="O295" s="162"/>
      <c r="P295" s="162"/>
      <c r="Q295" s="162"/>
    </row>
    <row r="296" spans="2:17" x14ac:dyDescent="0.25">
      <c r="B296" s="120"/>
      <c r="C296" s="120"/>
      <c r="D296" s="120"/>
      <c r="E296" s="162"/>
      <c r="F296" s="162"/>
      <c r="G296" s="162"/>
      <c r="H296" s="162"/>
      <c r="I296" s="162"/>
      <c r="J296" s="162"/>
      <c r="K296" s="162"/>
      <c r="L296" s="162"/>
      <c r="M296" s="162"/>
      <c r="N296" s="162"/>
      <c r="O296" s="162"/>
      <c r="P296" s="162"/>
      <c r="Q296" s="162"/>
    </row>
    <row r="297" spans="2:17" x14ac:dyDescent="0.25">
      <c r="B297" s="120"/>
      <c r="C297" s="120"/>
      <c r="D297" s="120"/>
      <c r="E297" s="162"/>
      <c r="F297" s="162"/>
      <c r="G297" s="162"/>
      <c r="H297" s="162"/>
      <c r="I297" s="162"/>
      <c r="J297" s="162"/>
      <c r="K297" s="162"/>
      <c r="L297" s="162"/>
      <c r="M297" s="162"/>
      <c r="N297" s="162"/>
      <c r="O297" s="162"/>
      <c r="P297" s="162"/>
      <c r="Q297" s="162"/>
    </row>
    <row r="298" spans="2:17" x14ac:dyDescent="0.25">
      <c r="B298" s="120"/>
      <c r="C298" s="120"/>
      <c r="D298" s="120"/>
      <c r="E298" s="162"/>
      <c r="F298" s="162"/>
      <c r="G298" s="162"/>
      <c r="H298" s="162"/>
      <c r="I298" s="162"/>
      <c r="J298" s="162"/>
      <c r="K298" s="162"/>
      <c r="L298" s="162"/>
      <c r="M298" s="162"/>
      <c r="N298" s="162"/>
      <c r="O298" s="162"/>
      <c r="P298" s="162"/>
      <c r="Q298" s="162"/>
    </row>
    <row r="299" spans="2:17" x14ac:dyDescent="0.25">
      <c r="B299" s="120"/>
      <c r="C299" s="120"/>
      <c r="D299" s="120"/>
      <c r="E299" s="162"/>
      <c r="F299" s="162"/>
      <c r="G299" s="162"/>
      <c r="H299" s="162"/>
      <c r="I299" s="162"/>
      <c r="J299" s="162"/>
      <c r="K299" s="162"/>
      <c r="L299" s="162"/>
      <c r="M299" s="162"/>
      <c r="N299" s="162"/>
      <c r="O299" s="162"/>
      <c r="P299" s="162"/>
      <c r="Q299" s="162"/>
    </row>
    <row r="300" spans="2:17" x14ac:dyDescent="0.25">
      <c r="B300" s="120"/>
      <c r="C300" s="120"/>
      <c r="D300" s="120"/>
      <c r="E300" s="162"/>
      <c r="F300" s="162"/>
      <c r="G300" s="162"/>
      <c r="H300" s="162"/>
      <c r="I300" s="162"/>
      <c r="J300" s="162"/>
      <c r="K300" s="162"/>
      <c r="L300" s="162"/>
      <c r="M300" s="162"/>
      <c r="N300" s="162"/>
      <c r="O300" s="162"/>
      <c r="P300" s="162"/>
      <c r="Q300" s="162"/>
    </row>
    <row r="301" spans="2:17" x14ac:dyDescent="0.25">
      <c r="B301" s="120"/>
      <c r="C301" s="120"/>
      <c r="D301" s="120"/>
      <c r="E301" s="162"/>
      <c r="F301" s="162"/>
      <c r="G301" s="162"/>
      <c r="H301" s="162"/>
      <c r="I301" s="162"/>
      <c r="J301" s="162"/>
      <c r="K301" s="162"/>
      <c r="L301" s="162"/>
      <c r="M301" s="162"/>
      <c r="N301" s="162"/>
      <c r="O301" s="162"/>
      <c r="P301" s="162"/>
      <c r="Q301" s="162"/>
    </row>
    <row r="302" spans="2:17" x14ac:dyDescent="0.25">
      <c r="B302" s="120"/>
      <c r="C302" s="120"/>
      <c r="D302" s="120"/>
      <c r="E302" s="162"/>
      <c r="F302" s="162"/>
      <c r="G302" s="162"/>
      <c r="H302" s="162"/>
      <c r="I302" s="162"/>
      <c r="J302" s="162"/>
      <c r="K302" s="162"/>
      <c r="L302" s="162"/>
      <c r="M302" s="162"/>
      <c r="N302" s="162"/>
      <c r="O302" s="162"/>
      <c r="P302" s="162"/>
      <c r="Q302" s="162"/>
    </row>
    <row r="303" spans="2:17" x14ac:dyDescent="0.25">
      <c r="B303" s="120"/>
      <c r="C303" s="120"/>
      <c r="D303" s="120"/>
      <c r="E303" s="162"/>
      <c r="F303" s="162"/>
      <c r="G303" s="162"/>
      <c r="H303" s="162"/>
      <c r="I303" s="162"/>
      <c r="J303" s="162"/>
      <c r="K303" s="162"/>
      <c r="L303" s="162"/>
      <c r="M303" s="162"/>
      <c r="N303" s="162"/>
      <c r="O303" s="162"/>
      <c r="P303" s="162"/>
      <c r="Q303" s="162"/>
    </row>
    <row r="304" spans="2:17" x14ac:dyDescent="0.25">
      <c r="B304" s="120"/>
      <c r="C304" s="120"/>
      <c r="D304" s="120"/>
      <c r="E304" s="162"/>
      <c r="F304" s="162"/>
      <c r="G304" s="162"/>
      <c r="H304" s="162"/>
      <c r="I304" s="162"/>
      <c r="J304" s="162"/>
      <c r="K304" s="162"/>
      <c r="L304" s="162"/>
      <c r="M304" s="162"/>
      <c r="N304" s="162"/>
      <c r="O304" s="162"/>
      <c r="P304" s="162"/>
      <c r="Q304" s="162"/>
    </row>
    <row r="305" spans="2:17" x14ac:dyDescent="0.25">
      <c r="B305" s="120"/>
      <c r="C305" s="120"/>
      <c r="D305" s="120"/>
      <c r="E305" s="162"/>
      <c r="F305" s="162"/>
      <c r="G305" s="162"/>
      <c r="H305" s="162"/>
      <c r="I305" s="162"/>
      <c r="J305" s="162"/>
      <c r="K305" s="162"/>
      <c r="L305" s="162"/>
      <c r="M305" s="162"/>
      <c r="N305" s="162"/>
      <c r="O305" s="162"/>
      <c r="P305" s="162"/>
      <c r="Q305" s="162"/>
    </row>
    <row r="306" spans="2:17" x14ac:dyDescent="0.25">
      <c r="B306" s="120"/>
      <c r="C306" s="120"/>
      <c r="D306" s="120"/>
      <c r="E306" s="162"/>
      <c r="F306" s="162"/>
      <c r="G306" s="162"/>
      <c r="H306" s="162"/>
      <c r="I306" s="162"/>
      <c r="J306" s="162"/>
      <c r="K306" s="162"/>
      <c r="L306" s="162"/>
      <c r="M306" s="162"/>
      <c r="N306" s="162"/>
      <c r="O306" s="162"/>
      <c r="P306" s="162"/>
      <c r="Q306" s="162"/>
    </row>
    <row r="307" spans="2:17" x14ac:dyDescent="0.25">
      <c r="B307" s="120"/>
      <c r="C307" s="120"/>
      <c r="D307" s="120"/>
      <c r="E307" s="162"/>
      <c r="F307" s="162"/>
      <c r="G307" s="162"/>
      <c r="H307" s="162"/>
      <c r="I307" s="162"/>
      <c r="J307" s="162"/>
      <c r="K307" s="162"/>
      <c r="L307" s="162"/>
      <c r="M307" s="162"/>
      <c r="N307" s="162"/>
      <c r="O307" s="162"/>
      <c r="P307" s="162"/>
      <c r="Q307" s="162"/>
    </row>
    <row r="308" spans="2:17" x14ac:dyDescent="0.25">
      <c r="B308" s="120"/>
      <c r="C308" s="120"/>
      <c r="D308" s="120"/>
      <c r="E308" s="162"/>
      <c r="F308" s="162"/>
      <c r="G308" s="162"/>
      <c r="H308" s="162"/>
      <c r="I308" s="162"/>
      <c r="J308" s="162"/>
      <c r="K308" s="162"/>
      <c r="L308" s="162"/>
      <c r="M308" s="162"/>
      <c r="N308" s="162"/>
      <c r="O308" s="162"/>
      <c r="P308" s="162"/>
      <c r="Q308" s="162"/>
    </row>
    <row r="309" spans="2:17" x14ac:dyDescent="0.25">
      <c r="B309" s="120"/>
      <c r="C309" s="120"/>
      <c r="D309" s="120"/>
      <c r="E309" s="162"/>
      <c r="F309" s="162"/>
      <c r="G309" s="162"/>
      <c r="H309" s="162"/>
      <c r="I309" s="162"/>
      <c r="J309" s="162"/>
      <c r="K309" s="162"/>
      <c r="L309" s="162"/>
      <c r="M309" s="162"/>
      <c r="N309" s="162"/>
      <c r="O309" s="162"/>
      <c r="P309" s="162"/>
      <c r="Q309" s="162"/>
    </row>
    <row r="310" spans="2:17" x14ac:dyDescent="0.25">
      <c r="B310" s="120"/>
      <c r="C310" s="120"/>
      <c r="D310" s="120"/>
      <c r="E310" s="162"/>
      <c r="F310" s="162"/>
      <c r="G310" s="162"/>
      <c r="H310" s="162"/>
      <c r="I310" s="162"/>
      <c r="J310" s="162"/>
      <c r="K310" s="162"/>
      <c r="L310" s="162"/>
      <c r="M310" s="162"/>
      <c r="N310" s="162"/>
      <c r="O310" s="162"/>
      <c r="P310" s="162"/>
      <c r="Q310" s="162"/>
    </row>
    <row r="311" spans="2:17" x14ac:dyDescent="0.25">
      <c r="B311" s="120"/>
      <c r="C311" s="120"/>
      <c r="D311" s="120"/>
      <c r="E311" s="162"/>
      <c r="F311" s="162"/>
      <c r="G311" s="162"/>
      <c r="H311" s="162"/>
      <c r="I311" s="162"/>
      <c r="J311" s="162"/>
      <c r="K311" s="162"/>
      <c r="L311" s="162"/>
      <c r="M311" s="162"/>
      <c r="N311" s="162"/>
      <c r="O311" s="162"/>
      <c r="P311" s="162"/>
      <c r="Q311" s="162"/>
    </row>
    <row r="312" spans="2:17" x14ac:dyDescent="0.25">
      <c r="B312" s="120"/>
      <c r="C312" s="120"/>
      <c r="D312" s="120"/>
      <c r="E312" s="162"/>
      <c r="F312" s="162"/>
      <c r="G312" s="162"/>
      <c r="H312" s="162"/>
      <c r="I312" s="162"/>
      <c r="J312" s="162"/>
      <c r="K312" s="162"/>
      <c r="L312" s="162"/>
      <c r="M312" s="162"/>
      <c r="N312" s="162"/>
      <c r="O312" s="162"/>
      <c r="P312" s="162"/>
      <c r="Q312" s="162"/>
    </row>
    <row r="313" spans="2:17" x14ac:dyDescent="0.25">
      <c r="B313" s="120"/>
      <c r="C313" s="120"/>
      <c r="D313" s="120"/>
      <c r="E313" s="162"/>
      <c r="F313" s="162"/>
      <c r="G313" s="162"/>
      <c r="H313" s="162"/>
      <c r="I313" s="162"/>
      <c r="J313" s="162"/>
      <c r="K313" s="162"/>
      <c r="L313" s="162"/>
      <c r="M313" s="162"/>
      <c r="N313" s="162"/>
      <c r="O313" s="162"/>
      <c r="P313" s="162"/>
      <c r="Q313" s="162"/>
    </row>
    <row r="314" spans="2:17" x14ac:dyDescent="0.25">
      <c r="B314" s="120"/>
      <c r="C314" s="120"/>
      <c r="D314" s="120"/>
      <c r="E314" s="162"/>
      <c r="F314" s="162"/>
      <c r="G314" s="162"/>
      <c r="H314" s="162"/>
      <c r="I314" s="162"/>
      <c r="J314" s="162"/>
      <c r="K314" s="162"/>
      <c r="L314" s="162"/>
      <c r="M314" s="162"/>
      <c r="N314" s="162"/>
      <c r="O314" s="162"/>
      <c r="P314" s="162"/>
      <c r="Q314" s="162"/>
    </row>
    <row r="315" spans="2:17" x14ac:dyDescent="0.25">
      <c r="B315" s="120"/>
      <c r="C315" s="120"/>
      <c r="D315" s="120"/>
      <c r="E315" s="162"/>
      <c r="F315" s="162"/>
      <c r="G315" s="162"/>
      <c r="H315" s="162"/>
      <c r="I315" s="162"/>
      <c r="J315" s="162"/>
      <c r="K315" s="162"/>
      <c r="L315" s="162"/>
      <c r="M315" s="162"/>
      <c r="N315" s="162"/>
      <c r="O315" s="162"/>
      <c r="P315" s="162"/>
      <c r="Q315" s="162"/>
    </row>
    <row r="316" spans="2:17" x14ac:dyDescent="0.25">
      <c r="B316" s="120"/>
      <c r="C316" s="120"/>
      <c r="D316" s="120"/>
      <c r="E316" s="162"/>
      <c r="F316" s="162"/>
      <c r="G316" s="162"/>
      <c r="H316" s="162"/>
      <c r="I316" s="162"/>
      <c r="J316" s="162"/>
      <c r="K316" s="162"/>
      <c r="L316" s="162"/>
      <c r="M316" s="162"/>
      <c r="N316" s="162"/>
      <c r="O316" s="162"/>
      <c r="P316" s="162"/>
      <c r="Q316" s="162"/>
    </row>
    <row r="317" spans="2:17" x14ac:dyDescent="0.25">
      <c r="B317" s="120"/>
      <c r="C317" s="120"/>
      <c r="D317" s="120"/>
      <c r="E317" s="162"/>
      <c r="F317" s="162"/>
      <c r="G317" s="162"/>
      <c r="H317" s="162"/>
      <c r="I317" s="162"/>
      <c r="J317" s="162"/>
      <c r="K317" s="162"/>
      <c r="L317" s="162"/>
      <c r="M317" s="162"/>
      <c r="N317" s="162"/>
      <c r="O317" s="162"/>
      <c r="P317" s="162"/>
      <c r="Q317" s="162"/>
    </row>
    <row r="318" spans="2:17" x14ac:dyDescent="0.25">
      <c r="B318" s="120"/>
      <c r="C318" s="120"/>
      <c r="D318" s="120"/>
      <c r="E318" s="162"/>
      <c r="F318" s="162"/>
      <c r="G318" s="162"/>
      <c r="H318" s="162"/>
      <c r="I318" s="162"/>
      <c r="J318" s="162"/>
      <c r="K318" s="162"/>
      <c r="L318" s="162"/>
      <c r="M318" s="162"/>
      <c r="N318" s="162"/>
      <c r="O318" s="162"/>
      <c r="P318" s="162"/>
      <c r="Q318" s="162"/>
    </row>
    <row r="319" spans="2:17" x14ac:dyDescent="0.25">
      <c r="B319" s="120"/>
      <c r="C319" s="120"/>
      <c r="D319" s="120"/>
      <c r="E319" s="162"/>
      <c r="F319" s="162"/>
      <c r="G319" s="162"/>
      <c r="H319" s="162"/>
      <c r="I319" s="162"/>
      <c r="J319" s="162"/>
      <c r="K319" s="162"/>
      <c r="L319" s="162"/>
      <c r="M319" s="162"/>
      <c r="N319" s="162"/>
      <c r="O319" s="162"/>
      <c r="P319" s="162"/>
      <c r="Q319" s="162"/>
    </row>
    <row r="320" spans="2:17" x14ac:dyDescent="0.25">
      <c r="B320" s="120"/>
      <c r="C320" s="120"/>
      <c r="D320" s="120"/>
      <c r="E320" s="162"/>
      <c r="F320" s="162"/>
      <c r="G320" s="162"/>
      <c r="H320" s="162"/>
      <c r="I320" s="162"/>
      <c r="J320" s="162"/>
      <c r="K320" s="162"/>
      <c r="L320" s="162"/>
      <c r="M320" s="162"/>
      <c r="N320" s="162"/>
      <c r="O320" s="162"/>
      <c r="P320" s="162"/>
      <c r="Q320" s="162"/>
    </row>
    <row r="321" spans="2:17" x14ac:dyDescent="0.25">
      <c r="B321" s="120"/>
      <c r="C321" s="120"/>
      <c r="D321" s="120"/>
      <c r="E321" s="162"/>
      <c r="F321" s="162"/>
      <c r="G321" s="162"/>
      <c r="H321" s="162"/>
      <c r="I321" s="162"/>
      <c r="J321" s="162"/>
      <c r="K321" s="162"/>
      <c r="L321" s="162"/>
      <c r="M321" s="162"/>
      <c r="N321" s="162"/>
      <c r="O321" s="162"/>
      <c r="P321" s="162"/>
      <c r="Q321" s="162"/>
    </row>
    <row r="322" spans="2:17" x14ac:dyDescent="0.25">
      <c r="B322" s="120"/>
      <c r="C322" s="120"/>
      <c r="D322" s="120"/>
      <c r="E322" s="162"/>
      <c r="F322" s="162"/>
      <c r="G322" s="162"/>
      <c r="H322" s="162"/>
      <c r="I322" s="162"/>
      <c r="J322" s="162"/>
      <c r="K322" s="162"/>
      <c r="L322" s="162"/>
      <c r="M322" s="162"/>
      <c r="N322" s="162"/>
      <c r="O322" s="162"/>
      <c r="P322" s="162"/>
      <c r="Q322" s="162"/>
    </row>
    <row r="323" spans="2:17" x14ac:dyDescent="0.25">
      <c r="B323" s="120"/>
      <c r="C323" s="120"/>
      <c r="D323" s="120"/>
      <c r="E323" s="162"/>
      <c r="F323" s="162"/>
      <c r="G323" s="162"/>
      <c r="H323" s="162"/>
      <c r="I323" s="162"/>
      <c r="J323" s="162"/>
      <c r="K323" s="162"/>
      <c r="L323" s="162"/>
      <c r="M323" s="162"/>
      <c r="N323" s="162"/>
      <c r="O323" s="162"/>
      <c r="P323" s="162"/>
      <c r="Q323" s="162"/>
    </row>
    <row r="324" spans="2:17" x14ac:dyDescent="0.25">
      <c r="B324" s="120"/>
      <c r="C324" s="120"/>
      <c r="D324" s="120"/>
      <c r="E324" s="162"/>
      <c r="F324" s="162"/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</row>
    <row r="325" spans="2:17" x14ac:dyDescent="0.25">
      <c r="B325" s="120"/>
      <c r="C325" s="120"/>
      <c r="D325" s="120"/>
      <c r="E325" s="162"/>
      <c r="F325" s="162"/>
      <c r="G325" s="162"/>
      <c r="H325" s="162"/>
      <c r="I325" s="162"/>
      <c r="J325" s="162"/>
      <c r="K325" s="162"/>
      <c r="L325" s="162"/>
      <c r="M325" s="162"/>
      <c r="N325" s="162"/>
      <c r="O325" s="162"/>
      <c r="P325" s="162"/>
      <c r="Q325" s="162"/>
    </row>
    <row r="326" spans="2:17" x14ac:dyDescent="0.25">
      <c r="B326" s="120"/>
      <c r="C326" s="120"/>
      <c r="D326" s="120"/>
      <c r="E326" s="162"/>
      <c r="F326" s="162"/>
      <c r="G326" s="162"/>
      <c r="H326" s="162"/>
      <c r="I326" s="162"/>
      <c r="J326" s="162"/>
      <c r="K326" s="162"/>
      <c r="L326" s="162"/>
      <c r="M326" s="162"/>
      <c r="N326" s="162"/>
      <c r="O326" s="162"/>
      <c r="P326" s="162"/>
      <c r="Q326" s="162"/>
    </row>
    <row r="327" spans="2:17" x14ac:dyDescent="0.25">
      <c r="B327" s="120"/>
      <c r="C327" s="120"/>
      <c r="D327" s="120"/>
      <c r="E327" s="162"/>
      <c r="F327" s="162"/>
      <c r="G327" s="162"/>
      <c r="H327" s="162"/>
      <c r="I327" s="162"/>
      <c r="J327" s="162"/>
      <c r="K327" s="162"/>
      <c r="L327" s="162"/>
      <c r="M327" s="162"/>
      <c r="N327" s="162"/>
      <c r="O327" s="162"/>
      <c r="P327" s="162"/>
      <c r="Q327" s="162"/>
    </row>
    <row r="328" spans="2:17" x14ac:dyDescent="0.25">
      <c r="B328" s="120"/>
      <c r="C328" s="120"/>
      <c r="D328" s="120"/>
      <c r="E328" s="162"/>
      <c r="F328" s="162"/>
      <c r="G328" s="162"/>
      <c r="H328" s="162"/>
      <c r="I328" s="162"/>
      <c r="J328" s="162"/>
      <c r="K328" s="162"/>
      <c r="L328" s="162"/>
      <c r="M328" s="162"/>
      <c r="N328" s="162"/>
      <c r="O328" s="162"/>
      <c r="P328" s="162"/>
      <c r="Q328" s="162"/>
    </row>
    <row r="329" spans="2:17" x14ac:dyDescent="0.25">
      <c r="B329" s="120"/>
      <c r="C329" s="120"/>
      <c r="D329" s="120"/>
      <c r="E329" s="162"/>
      <c r="F329" s="162"/>
      <c r="G329" s="162"/>
      <c r="H329" s="162"/>
      <c r="I329" s="162"/>
      <c r="J329" s="162"/>
      <c r="K329" s="162"/>
      <c r="L329" s="162"/>
      <c r="M329" s="162"/>
      <c r="N329" s="162"/>
      <c r="O329" s="162"/>
      <c r="P329" s="162"/>
      <c r="Q329" s="162"/>
    </row>
    <row r="330" spans="2:17" x14ac:dyDescent="0.25">
      <c r="B330" s="120"/>
      <c r="C330" s="120"/>
      <c r="D330" s="120"/>
      <c r="E330" s="162"/>
      <c r="F330" s="162"/>
      <c r="G330" s="162"/>
      <c r="H330" s="162"/>
      <c r="I330" s="162"/>
      <c r="J330" s="162"/>
      <c r="K330" s="162"/>
      <c r="L330" s="162"/>
      <c r="M330" s="162"/>
      <c r="N330" s="162"/>
      <c r="O330" s="162"/>
      <c r="P330" s="162"/>
      <c r="Q330" s="162"/>
    </row>
    <row r="331" spans="2:17" x14ac:dyDescent="0.25">
      <c r="B331" s="120"/>
      <c r="C331" s="120"/>
      <c r="D331" s="120"/>
      <c r="E331" s="162"/>
      <c r="F331" s="162"/>
      <c r="G331" s="162"/>
      <c r="H331" s="162"/>
      <c r="I331" s="162"/>
      <c r="J331" s="162"/>
      <c r="K331" s="162"/>
      <c r="L331" s="162"/>
      <c r="M331" s="162"/>
      <c r="N331" s="162"/>
      <c r="O331" s="162"/>
      <c r="P331" s="162"/>
      <c r="Q331" s="162"/>
    </row>
    <row r="332" spans="2:17" x14ac:dyDescent="0.25">
      <c r="B332" s="120"/>
      <c r="C332" s="120"/>
      <c r="D332" s="120"/>
      <c r="E332" s="162"/>
      <c r="F332" s="162"/>
      <c r="G332" s="162"/>
      <c r="H332" s="162"/>
      <c r="I332" s="162"/>
      <c r="J332" s="162"/>
      <c r="K332" s="162"/>
      <c r="L332" s="162"/>
      <c r="M332" s="162"/>
      <c r="N332" s="162"/>
      <c r="O332" s="162"/>
      <c r="P332" s="162"/>
      <c r="Q332" s="162"/>
    </row>
    <row r="333" spans="2:17" x14ac:dyDescent="0.25">
      <c r="B333" s="120"/>
      <c r="C333" s="120"/>
      <c r="D333" s="120"/>
      <c r="E333" s="162"/>
      <c r="F333" s="162"/>
      <c r="G333" s="162"/>
      <c r="H333" s="162"/>
      <c r="I333" s="162"/>
      <c r="J333" s="162"/>
      <c r="K333" s="162"/>
      <c r="L333" s="162"/>
      <c r="M333" s="162"/>
      <c r="N333" s="162"/>
      <c r="O333" s="162"/>
      <c r="P333" s="162"/>
      <c r="Q333" s="162"/>
    </row>
    <row r="334" spans="2:17" x14ac:dyDescent="0.25">
      <c r="B334" s="120"/>
      <c r="C334" s="120"/>
      <c r="D334" s="120"/>
      <c r="E334" s="162"/>
      <c r="F334" s="162"/>
      <c r="G334" s="162"/>
      <c r="H334" s="162"/>
      <c r="I334" s="162"/>
      <c r="J334" s="162"/>
      <c r="K334" s="162"/>
      <c r="L334" s="162"/>
      <c r="M334" s="162"/>
      <c r="N334" s="162"/>
      <c r="O334" s="162"/>
      <c r="P334" s="162"/>
      <c r="Q334" s="162"/>
    </row>
    <row r="335" spans="2:17" x14ac:dyDescent="0.25">
      <c r="B335" s="120"/>
      <c r="C335" s="120"/>
      <c r="D335" s="120"/>
      <c r="E335" s="162"/>
      <c r="F335" s="162"/>
      <c r="G335" s="162"/>
      <c r="H335" s="162"/>
      <c r="I335" s="162"/>
      <c r="J335" s="162"/>
      <c r="K335" s="162"/>
      <c r="L335" s="162"/>
      <c r="M335" s="162"/>
      <c r="N335" s="162"/>
      <c r="O335" s="162"/>
      <c r="P335" s="162"/>
      <c r="Q335" s="162"/>
    </row>
    <row r="336" spans="2:17" x14ac:dyDescent="0.25">
      <c r="B336" s="120"/>
      <c r="C336" s="120"/>
      <c r="D336" s="120"/>
      <c r="E336" s="162"/>
      <c r="F336" s="162"/>
      <c r="G336" s="162"/>
      <c r="H336" s="162"/>
      <c r="I336" s="162"/>
      <c r="J336" s="162"/>
      <c r="K336" s="162"/>
      <c r="L336" s="162"/>
      <c r="M336" s="162"/>
      <c r="N336" s="162"/>
      <c r="O336" s="162"/>
      <c r="P336" s="162"/>
      <c r="Q336" s="162"/>
    </row>
    <row r="337" spans="2:17" x14ac:dyDescent="0.25">
      <c r="B337" s="120"/>
      <c r="C337" s="120"/>
      <c r="D337" s="120"/>
      <c r="E337" s="162"/>
      <c r="F337" s="162"/>
      <c r="G337" s="162"/>
      <c r="H337" s="162"/>
      <c r="I337" s="162"/>
      <c r="J337" s="162"/>
      <c r="K337" s="162"/>
      <c r="L337" s="162"/>
      <c r="M337" s="162"/>
      <c r="N337" s="162"/>
      <c r="O337" s="162"/>
      <c r="P337" s="162"/>
      <c r="Q337" s="162"/>
    </row>
    <row r="338" spans="2:17" x14ac:dyDescent="0.25">
      <c r="B338" s="120"/>
      <c r="C338" s="120"/>
      <c r="D338" s="120"/>
      <c r="E338" s="162"/>
      <c r="F338" s="162"/>
      <c r="G338" s="162"/>
      <c r="H338" s="162"/>
      <c r="I338" s="162"/>
      <c r="J338" s="162"/>
      <c r="K338" s="162"/>
      <c r="L338" s="162"/>
      <c r="M338" s="162"/>
      <c r="N338" s="162"/>
      <c r="O338" s="162"/>
      <c r="P338" s="162"/>
      <c r="Q338" s="162"/>
    </row>
    <row r="339" spans="2:17" x14ac:dyDescent="0.25">
      <c r="B339" s="120"/>
      <c r="C339" s="120"/>
      <c r="D339" s="120"/>
      <c r="E339" s="162"/>
      <c r="F339" s="162"/>
      <c r="G339" s="162"/>
      <c r="H339" s="162"/>
      <c r="I339" s="162"/>
      <c r="J339" s="162"/>
      <c r="K339" s="162"/>
      <c r="L339" s="162"/>
      <c r="M339" s="162"/>
      <c r="N339" s="162"/>
      <c r="O339" s="162"/>
      <c r="P339" s="162"/>
      <c r="Q339" s="162"/>
    </row>
    <row r="340" spans="2:17" x14ac:dyDescent="0.25">
      <c r="B340" s="120"/>
      <c r="C340" s="120"/>
      <c r="D340" s="120"/>
      <c r="E340" s="162"/>
      <c r="F340" s="162"/>
      <c r="G340" s="162"/>
      <c r="H340" s="162"/>
      <c r="I340" s="162"/>
      <c r="J340" s="162"/>
      <c r="K340" s="162"/>
      <c r="L340" s="162"/>
      <c r="M340" s="162"/>
      <c r="N340" s="162"/>
      <c r="O340" s="162"/>
      <c r="P340" s="162"/>
      <c r="Q340" s="162"/>
    </row>
    <row r="341" spans="2:17" x14ac:dyDescent="0.25">
      <c r="B341" s="120"/>
      <c r="C341" s="120"/>
      <c r="D341" s="120"/>
      <c r="E341" s="162"/>
      <c r="F341" s="162"/>
      <c r="G341" s="162"/>
      <c r="H341" s="162"/>
      <c r="I341" s="162"/>
      <c r="J341" s="162"/>
      <c r="K341" s="162"/>
      <c r="L341" s="162"/>
      <c r="M341" s="162"/>
      <c r="N341" s="162"/>
      <c r="O341" s="162"/>
      <c r="P341" s="162"/>
      <c r="Q341" s="162"/>
    </row>
    <row r="342" spans="2:17" x14ac:dyDescent="0.25">
      <c r="B342" s="120"/>
      <c r="C342" s="120"/>
      <c r="D342" s="120"/>
      <c r="E342" s="162"/>
      <c r="F342" s="162"/>
      <c r="G342" s="162"/>
      <c r="H342" s="162"/>
      <c r="I342" s="162"/>
      <c r="J342" s="162"/>
      <c r="K342" s="162"/>
      <c r="L342" s="162"/>
      <c r="M342" s="162"/>
      <c r="N342" s="162"/>
      <c r="O342" s="162"/>
      <c r="P342" s="162"/>
      <c r="Q342" s="162"/>
    </row>
    <row r="343" spans="2:17" x14ac:dyDescent="0.25">
      <c r="B343" s="120"/>
      <c r="C343" s="120"/>
      <c r="D343" s="120"/>
      <c r="E343" s="162"/>
      <c r="F343" s="162"/>
      <c r="G343" s="162"/>
      <c r="H343" s="162"/>
      <c r="I343" s="162"/>
      <c r="J343" s="162"/>
      <c r="K343" s="162"/>
      <c r="L343" s="162"/>
      <c r="M343" s="162"/>
      <c r="N343" s="162"/>
      <c r="O343" s="162"/>
      <c r="P343" s="162"/>
      <c r="Q343" s="162"/>
    </row>
    <row r="344" spans="2:17" x14ac:dyDescent="0.25">
      <c r="B344" s="120"/>
      <c r="C344" s="120"/>
      <c r="D344" s="120"/>
      <c r="E344" s="162"/>
      <c r="F344" s="162"/>
      <c r="G344" s="162"/>
      <c r="H344" s="162"/>
      <c r="I344" s="162"/>
      <c r="J344" s="162"/>
      <c r="K344" s="162"/>
      <c r="L344" s="162"/>
      <c r="M344" s="162"/>
      <c r="N344" s="162"/>
      <c r="O344" s="162"/>
      <c r="P344" s="162"/>
      <c r="Q344" s="162"/>
    </row>
    <row r="345" spans="2:17" x14ac:dyDescent="0.25">
      <c r="B345" s="120"/>
      <c r="C345" s="120"/>
      <c r="D345" s="120"/>
      <c r="E345" s="162"/>
      <c r="F345" s="162"/>
      <c r="G345" s="162"/>
      <c r="H345" s="162"/>
      <c r="I345" s="162"/>
      <c r="J345" s="162"/>
      <c r="K345" s="162"/>
      <c r="L345" s="162"/>
      <c r="M345" s="162"/>
      <c r="N345" s="162"/>
      <c r="O345" s="162"/>
      <c r="P345" s="162"/>
      <c r="Q345" s="162"/>
    </row>
    <row r="346" spans="2:17" x14ac:dyDescent="0.25">
      <c r="B346" s="120"/>
      <c r="C346" s="120"/>
      <c r="D346" s="120"/>
      <c r="E346" s="162"/>
      <c r="F346" s="162"/>
      <c r="G346" s="162"/>
      <c r="H346" s="162"/>
      <c r="I346" s="162"/>
      <c r="J346" s="162"/>
      <c r="K346" s="162"/>
      <c r="L346" s="162"/>
      <c r="M346" s="162"/>
      <c r="N346" s="162"/>
      <c r="O346" s="162"/>
      <c r="P346" s="162"/>
      <c r="Q346" s="162"/>
    </row>
    <row r="347" spans="2:17" x14ac:dyDescent="0.25">
      <c r="B347" s="120"/>
      <c r="C347" s="120"/>
      <c r="D347" s="120"/>
      <c r="E347" s="162"/>
      <c r="F347" s="162"/>
      <c r="G347" s="162"/>
      <c r="H347" s="162"/>
      <c r="I347" s="162"/>
      <c r="J347" s="162"/>
      <c r="K347" s="162"/>
      <c r="L347" s="162"/>
      <c r="M347" s="162"/>
      <c r="N347" s="162"/>
      <c r="O347" s="162"/>
      <c r="P347" s="162"/>
      <c r="Q347" s="162"/>
    </row>
    <row r="348" spans="2:17" x14ac:dyDescent="0.25">
      <c r="B348" s="120"/>
      <c r="C348" s="120"/>
      <c r="D348" s="120"/>
      <c r="E348" s="162"/>
      <c r="F348" s="162"/>
      <c r="G348" s="162"/>
      <c r="H348" s="162"/>
      <c r="I348" s="162"/>
      <c r="J348" s="162"/>
      <c r="K348" s="162"/>
      <c r="L348" s="162"/>
      <c r="M348" s="162"/>
      <c r="N348" s="162"/>
      <c r="O348" s="162"/>
      <c r="P348" s="162"/>
      <c r="Q348" s="162"/>
    </row>
    <row r="349" spans="2:17" x14ac:dyDescent="0.25">
      <c r="B349" s="120"/>
      <c r="C349" s="120"/>
      <c r="D349" s="120"/>
      <c r="E349" s="162"/>
      <c r="F349" s="162"/>
      <c r="G349" s="162"/>
      <c r="H349" s="162"/>
      <c r="I349" s="162"/>
      <c r="J349" s="162"/>
      <c r="K349" s="162"/>
      <c r="L349" s="162"/>
      <c r="M349" s="162"/>
      <c r="N349" s="162"/>
      <c r="O349" s="162"/>
      <c r="P349" s="162"/>
      <c r="Q349" s="162"/>
    </row>
    <row r="350" spans="2:17" x14ac:dyDescent="0.25">
      <c r="B350" s="120"/>
      <c r="C350" s="120"/>
      <c r="D350" s="120"/>
      <c r="E350" s="162"/>
      <c r="F350" s="162"/>
      <c r="G350" s="162"/>
      <c r="H350" s="162"/>
      <c r="I350" s="162"/>
      <c r="J350" s="162"/>
      <c r="K350" s="162"/>
      <c r="L350" s="162"/>
      <c r="M350" s="162"/>
      <c r="N350" s="162"/>
      <c r="O350" s="162"/>
      <c r="P350" s="162"/>
      <c r="Q350" s="162"/>
    </row>
    <row r="351" spans="2:17" x14ac:dyDescent="0.25">
      <c r="B351" s="120"/>
      <c r="C351" s="120"/>
      <c r="D351" s="120"/>
      <c r="E351" s="162"/>
      <c r="F351" s="162"/>
      <c r="G351" s="162"/>
      <c r="H351" s="162"/>
      <c r="I351" s="162"/>
      <c r="J351" s="162"/>
      <c r="K351" s="162"/>
      <c r="L351" s="162"/>
      <c r="M351" s="162"/>
      <c r="N351" s="162"/>
      <c r="O351" s="162"/>
      <c r="P351" s="162"/>
      <c r="Q351" s="162"/>
    </row>
    <row r="352" spans="2:17" x14ac:dyDescent="0.25">
      <c r="B352" s="120"/>
      <c r="C352" s="120"/>
      <c r="D352" s="120"/>
      <c r="E352" s="162"/>
      <c r="F352" s="162"/>
      <c r="G352" s="162"/>
      <c r="H352" s="162"/>
      <c r="I352" s="162"/>
      <c r="J352" s="162"/>
      <c r="K352" s="162"/>
      <c r="L352" s="162"/>
      <c r="M352" s="162"/>
      <c r="N352" s="162"/>
      <c r="O352" s="162"/>
      <c r="P352" s="162"/>
      <c r="Q352" s="162"/>
    </row>
    <row r="353" spans="2:17" x14ac:dyDescent="0.25">
      <c r="B353" s="120"/>
      <c r="C353" s="120"/>
      <c r="D353" s="120"/>
      <c r="E353" s="162"/>
      <c r="F353" s="162"/>
      <c r="G353" s="162"/>
      <c r="H353" s="162"/>
      <c r="I353" s="162"/>
      <c r="J353" s="162"/>
      <c r="K353" s="162"/>
      <c r="L353" s="162"/>
      <c r="M353" s="162"/>
      <c r="N353" s="162"/>
      <c r="O353" s="162"/>
      <c r="P353" s="162"/>
      <c r="Q353" s="162"/>
    </row>
    <row r="354" spans="2:17" x14ac:dyDescent="0.25">
      <c r="B354" s="120"/>
      <c r="C354" s="120"/>
      <c r="D354" s="120"/>
      <c r="E354" s="162"/>
      <c r="F354" s="162"/>
      <c r="G354" s="162"/>
      <c r="H354" s="162"/>
      <c r="I354" s="162"/>
      <c r="J354" s="162"/>
      <c r="K354" s="162"/>
      <c r="L354" s="162"/>
      <c r="M354" s="162"/>
      <c r="N354" s="162"/>
      <c r="O354" s="162"/>
      <c r="P354" s="162"/>
      <c r="Q354" s="162"/>
    </row>
    <row r="355" spans="2:17" x14ac:dyDescent="0.25">
      <c r="B355" s="120"/>
      <c r="C355" s="120"/>
      <c r="D355" s="120"/>
      <c r="E355" s="162"/>
      <c r="F355" s="162"/>
      <c r="G355" s="162"/>
      <c r="H355" s="162"/>
      <c r="I355" s="162"/>
      <c r="J355" s="162"/>
      <c r="K355" s="162"/>
      <c r="L355" s="162"/>
      <c r="M355" s="162"/>
      <c r="N355" s="162"/>
      <c r="O355" s="162"/>
      <c r="P355" s="162"/>
      <c r="Q355" s="162"/>
    </row>
    <row r="356" spans="2:17" x14ac:dyDescent="0.25">
      <c r="B356" s="120"/>
      <c r="C356" s="120"/>
      <c r="D356" s="120"/>
      <c r="E356" s="162"/>
      <c r="F356" s="162"/>
      <c r="G356" s="162"/>
      <c r="H356" s="162"/>
      <c r="I356" s="162"/>
      <c r="J356" s="162"/>
      <c r="K356" s="162"/>
      <c r="L356" s="162"/>
      <c r="M356" s="162"/>
      <c r="N356" s="162"/>
      <c r="O356" s="162"/>
      <c r="P356" s="162"/>
      <c r="Q356" s="162"/>
    </row>
    <row r="357" spans="2:17" x14ac:dyDescent="0.25">
      <c r="B357" s="120"/>
      <c r="C357" s="120"/>
      <c r="D357" s="120"/>
      <c r="E357" s="162"/>
      <c r="F357" s="162"/>
      <c r="G357" s="162"/>
      <c r="H357" s="162"/>
      <c r="I357" s="162"/>
      <c r="J357" s="162"/>
      <c r="K357" s="162"/>
      <c r="L357" s="162"/>
      <c r="M357" s="162"/>
      <c r="N357" s="162"/>
      <c r="O357" s="162"/>
      <c r="P357" s="162"/>
      <c r="Q357" s="162"/>
    </row>
    <row r="358" spans="2:17" x14ac:dyDescent="0.25">
      <c r="B358" s="120"/>
      <c r="C358" s="120"/>
      <c r="D358" s="120"/>
      <c r="E358" s="162"/>
      <c r="F358" s="162"/>
      <c r="G358" s="162"/>
      <c r="H358" s="162"/>
      <c r="I358" s="162"/>
      <c r="J358" s="162"/>
      <c r="K358" s="162"/>
      <c r="L358" s="162"/>
      <c r="M358" s="162"/>
      <c r="N358" s="162"/>
      <c r="O358" s="162"/>
      <c r="P358" s="162"/>
      <c r="Q358" s="162"/>
    </row>
    <row r="359" spans="2:17" x14ac:dyDescent="0.25">
      <c r="B359" s="120"/>
      <c r="C359" s="120"/>
      <c r="D359" s="120"/>
      <c r="E359" s="162"/>
      <c r="F359" s="162"/>
      <c r="G359" s="162"/>
      <c r="H359" s="162"/>
      <c r="I359" s="162"/>
      <c r="J359" s="162"/>
      <c r="K359" s="162"/>
      <c r="L359" s="162"/>
      <c r="M359" s="162"/>
      <c r="N359" s="162"/>
      <c r="O359" s="162"/>
      <c r="P359" s="162"/>
      <c r="Q359" s="162"/>
    </row>
    <row r="360" spans="2:17" x14ac:dyDescent="0.25">
      <c r="B360" s="120"/>
      <c r="C360" s="120"/>
      <c r="D360" s="120"/>
      <c r="E360" s="162"/>
      <c r="F360" s="162"/>
      <c r="G360" s="162"/>
      <c r="H360" s="162"/>
      <c r="I360" s="162"/>
      <c r="J360" s="162"/>
      <c r="K360" s="162"/>
      <c r="L360" s="162"/>
      <c r="M360" s="162"/>
      <c r="N360" s="162"/>
      <c r="O360" s="162"/>
      <c r="P360" s="162"/>
      <c r="Q360" s="162"/>
    </row>
    <row r="361" spans="2:17" x14ac:dyDescent="0.25">
      <c r="B361" s="120"/>
      <c r="C361" s="120"/>
      <c r="D361" s="120"/>
      <c r="E361" s="162"/>
      <c r="F361" s="162"/>
      <c r="G361" s="162"/>
      <c r="H361" s="162"/>
      <c r="I361" s="162"/>
      <c r="J361" s="162"/>
      <c r="K361" s="162"/>
      <c r="L361" s="162"/>
      <c r="M361" s="162"/>
      <c r="N361" s="162"/>
      <c r="O361" s="162"/>
      <c r="P361" s="162"/>
      <c r="Q361" s="162"/>
    </row>
    <row r="362" spans="2:17" x14ac:dyDescent="0.25">
      <c r="B362" s="120"/>
      <c r="C362" s="120"/>
      <c r="D362" s="120"/>
      <c r="E362" s="162"/>
      <c r="F362" s="162"/>
      <c r="G362" s="162"/>
      <c r="H362" s="162"/>
      <c r="I362" s="162"/>
      <c r="J362" s="162"/>
      <c r="K362" s="162"/>
      <c r="L362" s="162"/>
      <c r="M362" s="162"/>
      <c r="N362" s="162"/>
      <c r="O362" s="162"/>
      <c r="P362" s="162"/>
      <c r="Q362" s="162"/>
    </row>
    <row r="363" spans="2:17" x14ac:dyDescent="0.25">
      <c r="B363" s="120"/>
      <c r="C363" s="120"/>
      <c r="D363" s="120"/>
      <c r="E363" s="162"/>
      <c r="F363" s="162"/>
      <c r="G363" s="162"/>
      <c r="H363" s="162"/>
      <c r="I363" s="162"/>
      <c r="J363" s="162"/>
      <c r="K363" s="162"/>
      <c r="L363" s="162"/>
      <c r="M363" s="162"/>
      <c r="N363" s="162"/>
      <c r="O363" s="162"/>
      <c r="P363" s="162"/>
      <c r="Q363" s="162"/>
    </row>
    <row r="364" spans="2:17" x14ac:dyDescent="0.25">
      <c r="B364" s="120"/>
      <c r="C364" s="120"/>
      <c r="D364" s="120"/>
      <c r="E364" s="162"/>
      <c r="F364" s="162"/>
      <c r="G364" s="162"/>
      <c r="H364" s="162"/>
      <c r="I364" s="162"/>
      <c r="J364" s="162"/>
      <c r="K364" s="162"/>
      <c r="L364" s="162"/>
      <c r="M364" s="162"/>
      <c r="N364" s="162"/>
      <c r="O364" s="162"/>
      <c r="P364" s="162"/>
      <c r="Q364" s="162"/>
    </row>
    <row r="365" spans="2:17" x14ac:dyDescent="0.25">
      <c r="B365" s="120"/>
      <c r="C365" s="120"/>
      <c r="D365" s="120"/>
      <c r="E365" s="162"/>
      <c r="F365" s="162"/>
      <c r="G365" s="162"/>
      <c r="H365" s="162"/>
      <c r="I365" s="162"/>
      <c r="J365" s="162"/>
      <c r="K365" s="162"/>
      <c r="L365" s="162"/>
      <c r="M365" s="162"/>
      <c r="N365" s="162"/>
      <c r="O365" s="162"/>
      <c r="P365" s="162"/>
      <c r="Q365" s="162"/>
    </row>
    <row r="366" spans="2:17" x14ac:dyDescent="0.25">
      <c r="B366" s="120"/>
      <c r="C366" s="120"/>
      <c r="D366" s="120"/>
      <c r="E366" s="162"/>
      <c r="F366" s="162"/>
      <c r="G366" s="162"/>
      <c r="H366" s="162"/>
      <c r="I366" s="162"/>
      <c r="J366" s="162"/>
      <c r="K366" s="162"/>
      <c r="L366" s="162"/>
      <c r="M366" s="162"/>
      <c r="N366" s="162"/>
      <c r="O366" s="162"/>
      <c r="P366" s="162"/>
      <c r="Q366" s="162"/>
    </row>
    <row r="367" spans="2:17" x14ac:dyDescent="0.25">
      <c r="B367" s="120"/>
      <c r="C367" s="120"/>
      <c r="D367" s="120"/>
      <c r="E367" s="162"/>
      <c r="F367" s="162"/>
      <c r="G367" s="162"/>
      <c r="H367" s="162"/>
      <c r="I367" s="162"/>
      <c r="J367" s="162"/>
      <c r="K367" s="162"/>
      <c r="L367" s="162"/>
      <c r="M367" s="162"/>
      <c r="N367" s="162"/>
      <c r="O367" s="162"/>
      <c r="P367" s="162"/>
      <c r="Q367" s="162"/>
    </row>
    <row r="368" spans="2:17" x14ac:dyDescent="0.25">
      <c r="B368" s="120"/>
      <c r="C368" s="120"/>
      <c r="D368" s="120"/>
      <c r="E368" s="162"/>
      <c r="F368" s="162"/>
      <c r="G368" s="162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</row>
    <row r="369" spans="2:17" x14ac:dyDescent="0.25">
      <c r="B369" s="120"/>
      <c r="C369" s="120"/>
      <c r="D369" s="120"/>
      <c r="E369" s="162"/>
      <c r="F369" s="162"/>
      <c r="G369" s="162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</row>
    <row r="370" spans="2:17" x14ac:dyDescent="0.25">
      <c r="B370" s="120"/>
      <c r="C370" s="120"/>
      <c r="D370" s="120"/>
      <c r="E370" s="162"/>
      <c r="F370" s="162"/>
      <c r="G370" s="162"/>
      <c r="H370" s="162"/>
      <c r="I370" s="162"/>
      <c r="J370" s="162"/>
      <c r="K370" s="162"/>
      <c r="L370" s="162"/>
      <c r="M370" s="162"/>
      <c r="N370" s="162"/>
      <c r="O370" s="162"/>
      <c r="P370" s="162"/>
      <c r="Q370" s="162"/>
    </row>
    <row r="371" spans="2:17" x14ac:dyDescent="0.25">
      <c r="B371" s="120"/>
      <c r="C371" s="120"/>
      <c r="D371" s="120"/>
      <c r="E371" s="162"/>
      <c r="F371" s="162"/>
      <c r="G371" s="162"/>
      <c r="H371" s="162"/>
      <c r="I371" s="162"/>
      <c r="J371" s="162"/>
      <c r="K371" s="162"/>
      <c r="L371" s="162"/>
      <c r="M371" s="162"/>
      <c r="N371" s="162"/>
      <c r="O371" s="162"/>
      <c r="P371" s="162"/>
      <c r="Q371" s="162"/>
    </row>
    <row r="372" spans="2:17" x14ac:dyDescent="0.25">
      <c r="B372" s="120"/>
      <c r="C372" s="120"/>
      <c r="D372" s="120"/>
      <c r="E372" s="162"/>
      <c r="F372" s="162"/>
      <c r="G372" s="162"/>
      <c r="H372" s="162"/>
      <c r="I372" s="162"/>
      <c r="J372" s="162"/>
      <c r="K372" s="162"/>
      <c r="L372" s="162"/>
      <c r="M372" s="162"/>
      <c r="N372" s="162"/>
      <c r="O372" s="162"/>
      <c r="P372" s="162"/>
      <c r="Q372" s="162"/>
    </row>
    <row r="373" spans="2:17" x14ac:dyDescent="0.25">
      <c r="B373" s="120"/>
      <c r="C373" s="120"/>
      <c r="D373" s="120"/>
      <c r="E373" s="162"/>
      <c r="F373" s="162"/>
      <c r="G373" s="162"/>
      <c r="H373" s="162"/>
      <c r="I373" s="162"/>
      <c r="J373" s="162"/>
      <c r="K373" s="162"/>
      <c r="L373" s="162"/>
      <c r="M373" s="162"/>
      <c r="N373" s="162"/>
      <c r="O373" s="162"/>
      <c r="P373" s="162"/>
      <c r="Q373" s="162"/>
    </row>
    <row r="374" spans="2:17" x14ac:dyDescent="0.25">
      <c r="B374" s="120"/>
      <c r="C374" s="120"/>
      <c r="D374" s="120"/>
      <c r="E374" s="162"/>
      <c r="F374" s="162"/>
      <c r="G374" s="162"/>
      <c r="H374" s="162"/>
      <c r="I374" s="162"/>
      <c r="J374" s="162"/>
      <c r="K374" s="162"/>
      <c r="L374" s="162"/>
      <c r="M374" s="162"/>
      <c r="N374" s="162"/>
      <c r="O374" s="162"/>
      <c r="P374" s="162"/>
      <c r="Q374" s="162"/>
    </row>
    <row r="375" spans="2:17" x14ac:dyDescent="0.25">
      <c r="B375" s="120"/>
      <c r="C375" s="120"/>
      <c r="D375" s="120"/>
      <c r="E375" s="162"/>
      <c r="F375" s="162"/>
      <c r="G375" s="162"/>
      <c r="H375" s="162"/>
      <c r="I375" s="162"/>
      <c r="J375" s="162"/>
      <c r="K375" s="162"/>
      <c r="L375" s="162"/>
      <c r="M375" s="162"/>
      <c r="N375" s="162"/>
      <c r="O375" s="162"/>
      <c r="P375" s="162"/>
      <c r="Q375" s="162"/>
    </row>
    <row r="376" spans="2:17" x14ac:dyDescent="0.25">
      <c r="B376" s="120"/>
      <c r="C376" s="120"/>
      <c r="D376" s="120"/>
      <c r="E376" s="162"/>
      <c r="F376" s="162"/>
      <c r="G376" s="162"/>
      <c r="H376" s="162"/>
      <c r="I376" s="162"/>
      <c r="J376" s="162"/>
      <c r="K376" s="162"/>
      <c r="L376" s="162"/>
      <c r="M376" s="162"/>
      <c r="N376" s="162"/>
      <c r="O376" s="162"/>
      <c r="P376" s="162"/>
      <c r="Q376" s="162"/>
    </row>
    <row r="377" spans="2:17" x14ac:dyDescent="0.25">
      <c r="B377" s="120"/>
      <c r="C377" s="120"/>
      <c r="D377" s="120"/>
      <c r="E377" s="162"/>
      <c r="F377" s="162"/>
      <c r="G377" s="162"/>
      <c r="H377" s="162"/>
      <c r="I377" s="162"/>
      <c r="J377" s="162"/>
      <c r="K377" s="162"/>
      <c r="L377" s="162"/>
      <c r="M377" s="162"/>
      <c r="N377" s="162"/>
      <c r="O377" s="162"/>
      <c r="P377" s="162"/>
      <c r="Q377" s="162"/>
    </row>
    <row r="378" spans="2:17" x14ac:dyDescent="0.25">
      <c r="B378" s="120"/>
      <c r="C378" s="120"/>
      <c r="D378" s="120"/>
      <c r="E378" s="162"/>
      <c r="F378" s="162"/>
      <c r="G378" s="162"/>
      <c r="H378" s="162"/>
      <c r="I378" s="162"/>
      <c r="J378" s="162"/>
      <c r="K378" s="162"/>
      <c r="L378" s="162"/>
      <c r="M378" s="162"/>
      <c r="N378" s="162"/>
      <c r="O378" s="162"/>
      <c r="P378" s="162"/>
      <c r="Q378" s="162"/>
    </row>
    <row r="379" spans="2:17" x14ac:dyDescent="0.25">
      <c r="B379" s="120"/>
      <c r="C379" s="120"/>
      <c r="D379" s="120"/>
      <c r="E379" s="162"/>
      <c r="F379" s="162"/>
      <c r="G379" s="162"/>
      <c r="H379" s="162"/>
      <c r="I379" s="162"/>
      <c r="J379" s="162"/>
      <c r="K379" s="162"/>
      <c r="L379" s="162"/>
      <c r="M379" s="162"/>
      <c r="N379" s="162"/>
      <c r="O379" s="162"/>
      <c r="P379" s="162"/>
      <c r="Q379" s="162"/>
    </row>
    <row r="380" spans="2:17" x14ac:dyDescent="0.25">
      <c r="B380" s="120"/>
      <c r="C380" s="120"/>
      <c r="D380" s="120"/>
      <c r="E380" s="162"/>
      <c r="F380" s="162"/>
      <c r="G380" s="162"/>
      <c r="H380" s="162"/>
      <c r="I380" s="162"/>
      <c r="J380" s="162"/>
      <c r="K380" s="162"/>
      <c r="L380" s="162"/>
      <c r="M380" s="162"/>
      <c r="N380" s="162"/>
      <c r="O380" s="162"/>
      <c r="P380" s="162"/>
      <c r="Q380" s="162"/>
    </row>
    <row r="381" spans="2:17" x14ac:dyDescent="0.25">
      <c r="B381" s="120"/>
      <c r="C381" s="120"/>
      <c r="D381" s="120"/>
      <c r="E381" s="162"/>
      <c r="F381" s="162"/>
      <c r="G381" s="162"/>
      <c r="H381" s="162"/>
      <c r="I381" s="162"/>
      <c r="J381" s="162"/>
      <c r="K381" s="162"/>
      <c r="L381" s="162"/>
      <c r="M381" s="162"/>
      <c r="N381" s="162"/>
      <c r="O381" s="162"/>
      <c r="P381" s="162"/>
      <c r="Q381" s="162"/>
    </row>
    <row r="382" spans="2:17" x14ac:dyDescent="0.25">
      <c r="B382" s="120"/>
      <c r="C382" s="120"/>
      <c r="D382" s="120"/>
      <c r="E382" s="162"/>
      <c r="F382" s="162"/>
      <c r="G382" s="162"/>
      <c r="H382" s="162"/>
      <c r="I382" s="162"/>
      <c r="J382" s="162"/>
      <c r="K382" s="162"/>
      <c r="L382" s="162"/>
      <c r="M382" s="162"/>
      <c r="N382" s="162"/>
      <c r="O382" s="162"/>
      <c r="P382" s="162"/>
      <c r="Q382" s="162"/>
    </row>
    <row r="383" spans="2:17" x14ac:dyDescent="0.25">
      <c r="B383" s="120"/>
      <c r="C383" s="120"/>
      <c r="D383" s="120"/>
      <c r="E383" s="162"/>
      <c r="F383" s="162"/>
      <c r="G383" s="162"/>
      <c r="H383" s="162"/>
      <c r="I383" s="162"/>
      <c r="J383" s="162"/>
      <c r="K383" s="162"/>
      <c r="L383" s="162"/>
      <c r="M383" s="162"/>
      <c r="N383" s="162"/>
      <c r="O383" s="162"/>
      <c r="P383" s="162"/>
      <c r="Q383" s="162"/>
    </row>
    <row r="384" spans="2:17" x14ac:dyDescent="0.25">
      <c r="B384" s="120"/>
      <c r="C384" s="120"/>
      <c r="D384" s="120"/>
      <c r="E384" s="162"/>
      <c r="F384" s="162"/>
      <c r="G384" s="162"/>
      <c r="H384" s="162"/>
      <c r="I384" s="162"/>
      <c r="J384" s="162"/>
      <c r="K384" s="162"/>
      <c r="L384" s="162"/>
      <c r="M384" s="162"/>
      <c r="N384" s="162"/>
      <c r="O384" s="162"/>
      <c r="P384" s="162"/>
      <c r="Q384" s="162"/>
    </row>
    <row r="385" spans="2:17" x14ac:dyDescent="0.25">
      <c r="B385" s="120"/>
      <c r="C385" s="120"/>
      <c r="D385" s="120"/>
      <c r="E385" s="162"/>
      <c r="F385" s="162"/>
      <c r="G385" s="162"/>
      <c r="H385" s="162"/>
      <c r="I385" s="162"/>
      <c r="J385" s="162"/>
      <c r="K385" s="162"/>
      <c r="L385" s="162"/>
      <c r="M385" s="162"/>
      <c r="N385" s="162"/>
      <c r="O385" s="162"/>
      <c r="P385" s="162"/>
      <c r="Q385" s="162"/>
    </row>
    <row r="386" spans="2:17" x14ac:dyDescent="0.25">
      <c r="B386" s="120"/>
      <c r="C386" s="120"/>
      <c r="D386" s="120"/>
      <c r="E386" s="162"/>
      <c r="F386" s="162"/>
      <c r="G386" s="162"/>
      <c r="H386" s="162"/>
      <c r="I386" s="162"/>
      <c r="J386" s="162"/>
      <c r="K386" s="162"/>
      <c r="L386" s="162"/>
      <c r="M386" s="162"/>
      <c r="N386" s="162"/>
      <c r="O386" s="162"/>
      <c r="P386" s="162"/>
      <c r="Q386" s="162"/>
    </row>
    <row r="387" spans="2:17" x14ac:dyDescent="0.25">
      <c r="B387" s="120"/>
      <c r="C387" s="120"/>
      <c r="D387" s="120"/>
      <c r="E387" s="162"/>
      <c r="F387" s="162"/>
      <c r="G387" s="162"/>
      <c r="H387" s="162"/>
      <c r="I387" s="162"/>
      <c r="J387" s="162"/>
      <c r="K387" s="162"/>
      <c r="L387" s="162"/>
      <c r="M387" s="162"/>
      <c r="N387" s="162"/>
      <c r="O387" s="162"/>
      <c r="P387" s="162"/>
      <c r="Q387" s="162"/>
    </row>
    <row r="388" spans="2:17" x14ac:dyDescent="0.25">
      <c r="B388" s="120"/>
      <c r="C388" s="120"/>
      <c r="D388" s="120"/>
      <c r="E388" s="162"/>
      <c r="F388" s="162"/>
      <c r="G388" s="162"/>
      <c r="H388" s="162"/>
      <c r="I388" s="162"/>
      <c r="J388" s="162"/>
      <c r="K388" s="162"/>
      <c r="L388" s="162"/>
      <c r="M388" s="162"/>
      <c r="N388" s="162"/>
      <c r="O388" s="162"/>
      <c r="P388" s="162"/>
      <c r="Q388" s="162"/>
    </row>
    <row r="389" spans="2:17" x14ac:dyDescent="0.25">
      <c r="B389" s="120"/>
      <c r="C389" s="120"/>
      <c r="D389" s="120"/>
      <c r="E389" s="162"/>
      <c r="F389" s="162"/>
      <c r="G389" s="162"/>
      <c r="H389" s="162"/>
      <c r="I389" s="162"/>
      <c r="J389" s="162"/>
      <c r="K389" s="162"/>
      <c r="L389" s="162"/>
      <c r="M389" s="162"/>
      <c r="N389" s="162"/>
      <c r="O389" s="162"/>
      <c r="P389" s="162"/>
      <c r="Q389" s="162"/>
    </row>
    <row r="390" spans="2:17" x14ac:dyDescent="0.25">
      <c r="B390" s="120"/>
      <c r="C390" s="120"/>
      <c r="D390" s="120"/>
      <c r="E390" s="162"/>
      <c r="F390" s="162"/>
      <c r="G390" s="162"/>
      <c r="H390" s="162"/>
      <c r="I390" s="162"/>
      <c r="J390" s="162"/>
      <c r="K390" s="162"/>
      <c r="L390" s="162"/>
      <c r="M390" s="162"/>
      <c r="N390" s="162"/>
      <c r="O390" s="162"/>
      <c r="P390" s="162"/>
      <c r="Q390" s="162"/>
    </row>
    <row r="391" spans="2:17" x14ac:dyDescent="0.25">
      <c r="B391" s="120"/>
      <c r="C391" s="120"/>
      <c r="D391" s="120"/>
      <c r="E391" s="162"/>
      <c r="F391" s="162"/>
      <c r="G391" s="162"/>
      <c r="H391" s="162"/>
      <c r="I391" s="162"/>
      <c r="J391" s="162"/>
      <c r="K391" s="162"/>
      <c r="L391" s="162"/>
      <c r="M391" s="162"/>
      <c r="N391" s="162"/>
      <c r="O391" s="162"/>
      <c r="P391" s="162"/>
      <c r="Q391" s="162"/>
    </row>
    <row r="392" spans="2:17" x14ac:dyDescent="0.25">
      <c r="B392" s="120"/>
      <c r="C392" s="120"/>
      <c r="D392" s="120"/>
      <c r="E392" s="162"/>
      <c r="F392" s="162"/>
      <c r="G392" s="162"/>
      <c r="H392" s="162"/>
      <c r="I392" s="162"/>
      <c r="J392" s="162"/>
      <c r="K392" s="162"/>
      <c r="L392" s="162"/>
      <c r="M392" s="162"/>
      <c r="N392" s="162"/>
      <c r="O392" s="162"/>
      <c r="P392" s="162"/>
      <c r="Q392" s="162"/>
    </row>
    <row r="393" spans="2:17" x14ac:dyDescent="0.25">
      <c r="B393" s="120"/>
      <c r="C393" s="120"/>
      <c r="D393" s="120"/>
      <c r="E393" s="162"/>
      <c r="F393" s="162"/>
      <c r="G393" s="162"/>
      <c r="H393" s="162"/>
      <c r="I393" s="162"/>
      <c r="J393" s="162"/>
      <c r="K393" s="162"/>
      <c r="L393" s="162"/>
      <c r="M393" s="162"/>
      <c r="N393" s="162"/>
      <c r="O393" s="162"/>
      <c r="P393" s="162"/>
      <c r="Q393" s="162"/>
    </row>
    <row r="394" spans="2:17" x14ac:dyDescent="0.25">
      <c r="B394" s="120"/>
      <c r="C394" s="120"/>
      <c r="D394" s="120"/>
      <c r="E394" s="162"/>
      <c r="F394" s="162"/>
      <c r="G394" s="162"/>
      <c r="H394" s="162"/>
      <c r="I394" s="162"/>
      <c r="J394" s="162"/>
      <c r="K394" s="162"/>
      <c r="L394" s="162"/>
      <c r="M394" s="162"/>
      <c r="N394" s="162"/>
      <c r="O394" s="162"/>
      <c r="P394" s="162"/>
      <c r="Q394" s="162"/>
    </row>
    <row r="395" spans="2:17" x14ac:dyDescent="0.25">
      <c r="B395" s="120"/>
      <c r="C395" s="120"/>
      <c r="D395" s="120"/>
      <c r="E395" s="162"/>
      <c r="F395" s="162"/>
      <c r="G395" s="162"/>
      <c r="H395" s="162"/>
      <c r="I395" s="162"/>
      <c r="J395" s="162"/>
      <c r="K395" s="162"/>
      <c r="L395" s="162"/>
      <c r="M395" s="162"/>
      <c r="N395" s="162"/>
      <c r="O395" s="162"/>
      <c r="P395" s="162"/>
      <c r="Q395" s="162"/>
    </row>
    <row r="396" spans="2:17" x14ac:dyDescent="0.25">
      <c r="B396" s="120"/>
      <c r="C396" s="120"/>
      <c r="D396" s="120"/>
      <c r="E396" s="162"/>
      <c r="F396" s="162"/>
      <c r="G396" s="162"/>
      <c r="H396" s="162"/>
      <c r="I396" s="162"/>
      <c r="J396" s="162"/>
      <c r="K396" s="162"/>
      <c r="L396" s="162"/>
      <c r="M396" s="162"/>
      <c r="N396" s="162"/>
      <c r="O396" s="162"/>
      <c r="P396" s="162"/>
      <c r="Q396" s="162"/>
    </row>
    <row r="397" spans="2:17" x14ac:dyDescent="0.25">
      <c r="B397" s="120"/>
      <c r="C397" s="120"/>
      <c r="D397" s="120"/>
      <c r="E397" s="162"/>
      <c r="F397" s="162"/>
      <c r="G397" s="162"/>
      <c r="H397" s="162"/>
      <c r="I397" s="162"/>
      <c r="J397" s="162"/>
      <c r="K397" s="162"/>
      <c r="L397" s="162"/>
      <c r="M397" s="162"/>
      <c r="N397" s="162"/>
      <c r="O397" s="162"/>
      <c r="P397" s="162"/>
      <c r="Q397" s="162"/>
    </row>
    <row r="398" spans="2:17" x14ac:dyDescent="0.25">
      <c r="B398" s="120"/>
      <c r="C398" s="120"/>
      <c r="D398" s="120"/>
      <c r="E398" s="162"/>
      <c r="F398" s="162"/>
      <c r="G398" s="162"/>
      <c r="H398" s="162"/>
      <c r="I398" s="162"/>
      <c r="J398" s="162"/>
      <c r="K398" s="162"/>
      <c r="L398" s="162"/>
      <c r="M398" s="162"/>
      <c r="N398" s="162"/>
      <c r="O398" s="162"/>
      <c r="P398" s="162"/>
      <c r="Q398" s="162"/>
    </row>
    <row r="399" spans="2:17" x14ac:dyDescent="0.25">
      <c r="B399" s="120"/>
      <c r="C399" s="120"/>
      <c r="D399" s="120"/>
      <c r="E399" s="162"/>
      <c r="F399" s="162"/>
      <c r="G399" s="162"/>
      <c r="H399" s="162"/>
      <c r="I399" s="162"/>
      <c r="J399" s="162"/>
      <c r="K399" s="162"/>
      <c r="L399" s="162"/>
      <c r="M399" s="162"/>
      <c r="N399" s="162"/>
      <c r="O399" s="162"/>
      <c r="P399" s="162"/>
      <c r="Q399" s="162"/>
    </row>
    <row r="400" spans="2:17" x14ac:dyDescent="0.25">
      <c r="B400" s="120"/>
      <c r="C400" s="120"/>
      <c r="D400" s="120"/>
      <c r="E400" s="162"/>
      <c r="F400" s="162"/>
      <c r="G400" s="162"/>
      <c r="H400" s="162"/>
      <c r="I400" s="162"/>
      <c r="J400" s="162"/>
      <c r="K400" s="162"/>
      <c r="L400" s="162"/>
      <c r="M400" s="162"/>
      <c r="N400" s="162"/>
      <c r="O400" s="162"/>
      <c r="P400" s="162"/>
      <c r="Q400" s="162"/>
    </row>
    <row r="401" spans="2:17" x14ac:dyDescent="0.25">
      <c r="B401" s="120"/>
      <c r="C401" s="120"/>
      <c r="D401" s="120"/>
      <c r="E401" s="162"/>
      <c r="F401" s="162"/>
      <c r="G401" s="162"/>
      <c r="H401" s="162"/>
      <c r="I401" s="162"/>
      <c r="J401" s="162"/>
      <c r="K401" s="162"/>
      <c r="L401" s="162"/>
      <c r="M401" s="162"/>
      <c r="N401" s="162"/>
      <c r="O401" s="162"/>
      <c r="P401" s="162"/>
      <c r="Q401" s="162"/>
    </row>
    <row r="402" spans="2:17" x14ac:dyDescent="0.25">
      <c r="B402" s="120"/>
      <c r="C402" s="120"/>
      <c r="D402" s="120"/>
      <c r="E402" s="162"/>
      <c r="F402" s="162"/>
      <c r="G402" s="162"/>
      <c r="H402" s="162"/>
      <c r="I402" s="162"/>
      <c r="J402" s="162"/>
      <c r="K402" s="162"/>
      <c r="L402" s="162"/>
      <c r="M402" s="162"/>
      <c r="N402" s="162"/>
      <c r="O402" s="162"/>
      <c r="P402" s="162"/>
      <c r="Q402" s="162"/>
    </row>
    <row r="403" spans="2:17" x14ac:dyDescent="0.25">
      <c r="B403" s="120"/>
      <c r="C403" s="120"/>
      <c r="D403" s="120"/>
      <c r="E403" s="162"/>
      <c r="F403" s="162"/>
      <c r="G403" s="162"/>
      <c r="H403" s="162"/>
      <c r="I403" s="162"/>
      <c r="J403" s="162"/>
      <c r="K403" s="162"/>
      <c r="L403" s="162"/>
      <c r="M403" s="162"/>
      <c r="N403" s="162"/>
      <c r="O403" s="162"/>
      <c r="P403" s="162"/>
      <c r="Q403" s="162"/>
    </row>
    <row r="404" spans="2:17" x14ac:dyDescent="0.25">
      <c r="B404" s="120"/>
      <c r="C404" s="120"/>
      <c r="D404" s="120"/>
      <c r="E404" s="162"/>
      <c r="F404" s="162"/>
      <c r="G404" s="162"/>
      <c r="H404" s="162"/>
      <c r="I404" s="162"/>
      <c r="J404" s="162"/>
      <c r="K404" s="162"/>
      <c r="L404" s="162"/>
      <c r="M404" s="162"/>
      <c r="N404" s="162"/>
      <c r="O404" s="162"/>
      <c r="P404" s="162"/>
      <c r="Q404" s="162"/>
    </row>
    <row r="405" spans="2:17" x14ac:dyDescent="0.25">
      <c r="B405" s="120"/>
      <c r="C405" s="120"/>
      <c r="D405" s="120"/>
      <c r="E405" s="162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</row>
    <row r="406" spans="2:17" x14ac:dyDescent="0.25">
      <c r="B406" s="120"/>
      <c r="C406" s="120"/>
      <c r="D406" s="120"/>
      <c r="E406" s="162"/>
      <c r="F406" s="162"/>
      <c r="G406" s="162"/>
      <c r="H406" s="162"/>
      <c r="I406" s="162"/>
      <c r="J406" s="162"/>
      <c r="K406" s="162"/>
      <c r="L406" s="162"/>
      <c r="M406" s="162"/>
      <c r="N406" s="162"/>
      <c r="O406" s="162"/>
      <c r="P406" s="162"/>
      <c r="Q406" s="162"/>
    </row>
    <row r="407" spans="2:17" x14ac:dyDescent="0.25">
      <c r="B407" s="120"/>
      <c r="C407" s="120"/>
      <c r="D407" s="120"/>
      <c r="E407" s="162"/>
      <c r="F407" s="162"/>
      <c r="G407" s="162"/>
      <c r="H407" s="162"/>
      <c r="I407" s="162"/>
      <c r="J407" s="162"/>
      <c r="K407" s="162"/>
      <c r="L407" s="162"/>
      <c r="M407" s="162"/>
      <c r="N407" s="162"/>
      <c r="O407" s="162"/>
      <c r="P407" s="162"/>
      <c r="Q407" s="162"/>
    </row>
    <row r="408" spans="2:17" x14ac:dyDescent="0.25">
      <c r="B408" s="120"/>
      <c r="C408" s="120"/>
      <c r="D408" s="120"/>
      <c r="E408" s="162"/>
      <c r="F408" s="162"/>
      <c r="G408" s="162"/>
      <c r="H408" s="162"/>
      <c r="I408" s="162"/>
      <c r="J408" s="162"/>
      <c r="K408" s="162"/>
      <c r="L408" s="162"/>
      <c r="M408" s="162"/>
      <c r="N408" s="162"/>
      <c r="O408" s="162"/>
      <c r="P408" s="162"/>
      <c r="Q408" s="162"/>
    </row>
    <row r="409" spans="2:17" x14ac:dyDescent="0.25">
      <c r="B409" s="120"/>
      <c r="C409" s="120"/>
      <c r="D409" s="120"/>
      <c r="E409" s="162"/>
      <c r="F409" s="162"/>
      <c r="G409" s="162"/>
      <c r="H409" s="162"/>
      <c r="I409" s="162"/>
      <c r="J409" s="162"/>
      <c r="K409" s="162"/>
      <c r="L409" s="162"/>
      <c r="M409" s="162"/>
      <c r="N409" s="162"/>
      <c r="O409" s="162"/>
      <c r="P409" s="162"/>
      <c r="Q409" s="162"/>
    </row>
    <row r="410" spans="2:17" x14ac:dyDescent="0.25">
      <c r="B410" s="120"/>
      <c r="C410" s="120"/>
      <c r="D410" s="120"/>
      <c r="E410" s="162"/>
      <c r="F410" s="162"/>
      <c r="G410" s="162"/>
      <c r="H410" s="162"/>
      <c r="I410" s="162"/>
      <c r="J410" s="162"/>
      <c r="K410" s="162"/>
      <c r="L410" s="162"/>
      <c r="M410" s="162"/>
      <c r="N410" s="162"/>
      <c r="O410" s="162"/>
      <c r="P410" s="162"/>
      <c r="Q410" s="162"/>
    </row>
    <row r="411" spans="2:17" x14ac:dyDescent="0.25">
      <c r="B411" s="120"/>
      <c r="C411" s="120"/>
      <c r="D411" s="120"/>
      <c r="E411" s="162"/>
      <c r="F411" s="162"/>
      <c r="G411" s="162"/>
      <c r="H411" s="162"/>
      <c r="I411" s="162"/>
      <c r="J411" s="162"/>
      <c r="K411" s="162"/>
      <c r="L411" s="162"/>
      <c r="M411" s="162"/>
      <c r="N411" s="162"/>
      <c r="O411" s="162"/>
      <c r="P411" s="162"/>
      <c r="Q411" s="162"/>
    </row>
    <row r="412" spans="2:17" x14ac:dyDescent="0.25">
      <c r="B412" s="120"/>
      <c r="C412" s="120"/>
      <c r="D412" s="120"/>
      <c r="E412" s="162"/>
      <c r="F412" s="162"/>
      <c r="G412" s="162"/>
      <c r="H412" s="162"/>
      <c r="I412" s="162"/>
      <c r="J412" s="162"/>
      <c r="K412" s="162"/>
      <c r="L412" s="162"/>
      <c r="M412" s="162"/>
      <c r="N412" s="162"/>
      <c r="O412" s="162"/>
      <c r="P412" s="162"/>
      <c r="Q412" s="162"/>
    </row>
    <row r="413" spans="2:17" x14ac:dyDescent="0.25">
      <c r="B413" s="120"/>
      <c r="C413" s="120"/>
      <c r="D413" s="120"/>
      <c r="E413" s="162"/>
      <c r="F413" s="162"/>
      <c r="G413" s="162"/>
      <c r="H413" s="162"/>
      <c r="I413" s="162"/>
      <c r="J413" s="162"/>
      <c r="K413" s="162"/>
      <c r="L413" s="162"/>
      <c r="M413" s="162"/>
      <c r="N413" s="162"/>
      <c r="O413" s="162"/>
      <c r="P413" s="162"/>
      <c r="Q413" s="162"/>
    </row>
    <row r="414" spans="2:17" x14ac:dyDescent="0.25">
      <c r="B414" s="120"/>
      <c r="C414" s="120"/>
      <c r="D414" s="120"/>
      <c r="E414" s="162"/>
      <c r="F414" s="162"/>
      <c r="G414" s="162"/>
      <c r="H414" s="162"/>
      <c r="I414" s="162"/>
      <c r="J414" s="162"/>
      <c r="K414" s="162"/>
      <c r="L414" s="162"/>
      <c r="M414" s="162"/>
      <c r="N414" s="162"/>
      <c r="O414" s="162"/>
      <c r="P414" s="162"/>
      <c r="Q414" s="162"/>
    </row>
    <row r="415" spans="2:17" x14ac:dyDescent="0.25">
      <c r="B415" s="120"/>
      <c r="C415" s="120"/>
      <c r="D415" s="120"/>
      <c r="E415" s="162"/>
      <c r="F415" s="162"/>
      <c r="G415" s="162"/>
      <c r="H415" s="162"/>
      <c r="I415" s="162"/>
      <c r="J415" s="162"/>
      <c r="K415" s="162"/>
      <c r="L415" s="162"/>
      <c r="M415" s="162"/>
      <c r="N415" s="162"/>
      <c r="O415" s="162"/>
      <c r="P415" s="162"/>
      <c r="Q415" s="162"/>
    </row>
    <row r="416" spans="2:17" x14ac:dyDescent="0.25">
      <c r="B416" s="120"/>
      <c r="C416" s="120"/>
      <c r="D416" s="120"/>
      <c r="E416" s="162"/>
      <c r="F416" s="162"/>
      <c r="G416" s="162"/>
      <c r="H416" s="162"/>
      <c r="I416" s="162"/>
      <c r="J416" s="162"/>
      <c r="K416" s="162"/>
      <c r="L416" s="162"/>
      <c r="M416" s="162"/>
      <c r="N416" s="162"/>
      <c r="O416" s="162"/>
      <c r="P416" s="162"/>
      <c r="Q416" s="162"/>
    </row>
    <row r="417" spans="2:17" x14ac:dyDescent="0.25">
      <c r="B417" s="120"/>
      <c r="C417" s="120"/>
      <c r="D417" s="120"/>
      <c r="E417" s="162"/>
      <c r="F417" s="162"/>
      <c r="G417" s="162"/>
      <c r="H417" s="162"/>
      <c r="I417" s="162"/>
      <c r="J417" s="162"/>
      <c r="K417" s="162"/>
      <c r="L417" s="162"/>
      <c r="M417" s="162"/>
      <c r="N417" s="162"/>
      <c r="O417" s="162"/>
      <c r="P417" s="162"/>
      <c r="Q417" s="162"/>
    </row>
    <row r="418" spans="2:17" x14ac:dyDescent="0.25">
      <c r="B418" s="120"/>
      <c r="C418" s="120"/>
      <c r="D418" s="120"/>
      <c r="E418" s="162"/>
      <c r="F418" s="162"/>
      <c r="G418" s="162"/>
      <c r="H418" s="162"/>
      <c r="I418" s="162"/>
      <c r="J418" s="162"/>
      <c r="K418" s="162"/>
      <c r="L418" s="162"/>
      <c r="M418" s="162"/>
      <c r="N418" s="162"/>
      <c r="O418" s="162"/>
      <c r="P418" s="162"/>
      <c r="Q418" s="162"/>
    </row>
    <row r="419" spans="2:17" x14ac:dyDescent="0.25">
      <c r="B419" s="120"/>
      <c r="C419" s="120"/>
      <c r="D419" s="120"/>
      <c r="E419" s="162"/>
      <c r="F419" s="162"/>
      <c r="G419" s="162"/>
      <c r="H419" s="162"/>
      <c r="I419" s="162"/>
      <c r="J419" s="162"/>
      <c r="K419" s="162"/>
      <c r="L419" s="162"/>
      <c r="M419" s="162"/>
      <c r="N419" s="162"/>
      <c r="O419" s="162"/>
      <c r="P419" s="162"/>
      <c r="Q419" s="162"/>
    </row>
    <row r="420" spans="2:17" x14ac:dyDescent="0.25">
      <c r="B420" s="120"/>
      <c r="C420" s="120"/>
      <c r="D420" s="120"/>
      <c r="E420" s="162"/>
      <c r="F420" s="162"/>
      <c r="G420" s="162"/>
      <c r="H420" s="162"/>
      <c r="I420" s="162"/>
      <c r="J420" s="162"/>
      <c r="K420" s="162"/>
      <c r="L420" s="162"/>
      <c r="M420" s="162"/>
      <c r="N420" s="162"/>
      <c r="O420" s="162"/>
      <c r="P420" s="162"/>
      <c r="Q420" s="162"/>
    </row>
    <row r="421" spans="2:17" x14ac:dyDescent="0.25">
      <c r="B421" s="120"/>
      <c r="C421" s="120"/>
      <c r="D421" s="120"/>
      <c r="E421" s="162"/>
      <c r="F421" s="162"/>
      <c r="G421" s="162"/>
      <c r="H421" s="162"/>
      <c r="I421" s="162"/>
      <c r="J421" s="162"/>
      <c r="K421" s="162"/>
      <c r="L421" s="162"/>
      <c r="M421" s="162"/>
      <c r="N421" s="162"/>
      <c r="O421" s="162"/>
      <c r="P421" s="162"/>
      <c r="Q421" s="162"/>
    </row>
    <row r="422" spans="2:17" x14ac:dyDescent="0.25">
      <c r="B422" s="120"/>
      <c r="C422" s="120"/>
      <c r="D422" s="120"/>
      <c r="E422" s="162"/>
      <c r="F422" s="162"/>
      <c r="G422" s="162"/>
      <c r="H422" s="162"/>
      <c r="I422" s="162"/>
      <c r="J422" s="162"/>
      <c r="K422" s="162"/>
      <c r="L422" s="162"/>
      <c r="M422" s="162"/>
      <c r="N422" s="162"/>
      <c r="O422" s="162"/>
      <c r="P422" s="162"/>
      <c r="Q422" s="162"/>
    </row>
    <row r="423" spans="2:17" x14ac:dyDescent="0.25">
      <c r="B423" s="120"/>
      <c r="C423" s="120"/>
      <c r="D423" s="120"/>
      <c r="E423" s="162"/>
      <c r="F423" s="162"/>
      <c r="G423" s="162"/>
      <c r="H423" s="162"/>
      <c r="I423" s="162"/>
      <c r="J423" s="162"/>
      <c r="K423" s="162"/>
      <c r="L423" s="162"/>
      <c r="M423" s="162"/>
      <c r="N423" s="162"/>
      <c r="O423" s="162"/>
      <c r="P423" s="162"/>
      <c r="Q423" s="162"/>
    </row>
    <row r="424" spans="2:17" x14ac:dyDescent="0.25">
      <c r="B424" s="120"/>
      <c r="C424" s="120"/>
      <c r="D424" s="120"/>
      <c r="E424" s="162"/>
      <c r="F424" s="162"/>
      <c r="G424" s="162"/>
      <c r="H424" s="162"/>
      <c r="I424" s="162"/>
      <c r="J424" s="162"/>
      <c r="K424" s="162"/>
      <c r="L424" s="162"/>
      <c r="M424" s="162"/>
      <c r="N424" s="162"/>
      <c r="O424" s="162"/>
      <c r="P424" s="162"/>
      <c r="Q424" s="162"/>
    </row>
    <row r="425" spans="2:17" x14ac:dyDescent="0.25">
      <c r="B425" s="120"/>
      <c r="C425" s="120"/>
      <c r="D425" s="120"/>
      <c r="E425" s="162"/>
      <c r="F425" s="162"/>
      <c r="G425" s="162"/>
      <c r="H425" s="162"/>
      <c r="I425" s="162"/>
      <c r="J425" s="162"/>
      <c r="K425" s="162"/>
      <c r="L425" s="162"/>
      <c r="M425" s="162"/>
      <c r="N425" s="162"/>
      <c r="O425" s="162"/>
      <c r="P425" s="162"/>
      <c r="Q425" s="162"/>
    </row>
    <row r="426" spans="2:17" x14ac:dyDescent="0.25">
      <c r="B426" s="120"/>
      <c r="C426" s="120"/>
      <c r="D426" s="120"/>
      <c r="E426" s="162"/>
      <c r="F426" s="162"/>
      <c r="G426" s="162"/>
      <c r="H426" s="162"/>
      <c r="I426" s="162"/>
      <c r="J426" s="162"/>
      <c r="K426" s="162"/>
      <c r="L426" s="162"/>
      <c r="M426" s="162"/>
      <c r="N426" s="162"/>
      <c r="O426" s="162"/>
      <c r="P426" s="162"/>
      <c r="Q426" s="162"/>
    </row>
    <row r="427" spans="2:17" x14ac:dyDescent="0.25">
      <c r="B427" s="120"/>
      <c r="C427" s="120"/>
      <c r="D427" s="120"/>
      <c r="E427" s="162"/>
      <c r="F427" s="162"/>
      <c r="G427" s="162"/>
      <c r="H427" s="162"/>
      <c r="I427" s="162"/>
      <c r="J427" s="162"/>
      <c r="K427" s="162"/>
      <c r="L427" s="162"/>
      <c r="M427" s="162"/>
      <c r="N427" s="162"/>
      <c r="O427" s="162"/>
      <c r="P427" s="162"/>
      <c r="Q427" s="162"/>
    </row>
    <row r="428" spans="2:17" x14ac:dyDescent="0.25">
      <c r="B428" s="120"/>
      <c r="C428" s="120"/>
      <c r="D428" s="120"/>
      <c r="E428" s="162"/>
      <c r="F428" s="162"/>
      <c r="G428" s="162"/>
      <c r="H428" s="162"/>
      <c r="I428" s="162"/>
      <c r="J428" s="162"/>
      <c r="K428" s="162"/>
      <c r="L428" s="162"/>
      <c r="M428" s="162"/>
      <c r="N428" s="162"/>
      <c r="O428" s="162"/>
      <c r="P428" s="162"/>
      <c r="Q428" s="162"/>
    </row>
    <row r="429" spans="2:17" x14ac:dyDescent="0.25">
      <c r="B429" s="120"/>
      <c r="C429" s="120"/>
      <c r="D429" s="120"/>
      <c r="E429" s="162"/>
      <c r="F429" s="162"/>
      <c r="G429" s="162"/>
      <c r="H429" s="162"/>
      <c r="I429" s="162"/>
      <c r="J429" s="162"/>
      <c r="K429" s="162"/>
      <c r="L429" s="162"/>
      <c r="M429" s="162"/>
      <c r="N429" s="162"/>
      <c r="O429" s="162"/>
      <c r="P429" s="162"/>
      <c r="Q429" s="162"/>
    </row>
    <row r="430" spans="2:17" x14ac:dyDescent="0.25">
      <c r="B430" s="120"/>
      <c r="C430" s="120"/>
      <c r="D430" s="120"/>
      <c r="E430" s="162"/>
      <c r="F430" s="162"/>
      <c r="G430" s="162"/>
      <c r="H430" s="162"/>
      <c r="I430" s="162"/>
      <c r="J430" s="162"/>
      <c r="K430" s="162"/>
      <c r="L430" s="162"/>
      <c r="M430" s="162"/>
      <c r="N430" s="162"/>
      <c r="O430" s="162"/>
      <c r="P430" s="162"/>
      <c r="Q430" s="162"/>
    </row>
    <row r="431" spans="2:17" x14ac:dyDescent="0.25">
      <c r="B431" s="120"/>
      <c r="C431" s="120"/>
      <c r="D431" s="120"/>
      <c r="E431" s="162"/>
      <c r="F431" s="162"/>
      <c r="G431" s="162"/>
      <c r="H431" s="162"/>
      <c r="I431" s="162"/>
      <c r="J431" s="162"/>
      <c r="K431" s="162"/>
      <c r="L431" s="162"/>
      <c r="M431" s="162"/>
      <c r="N431" s="162"/>
      <c r="O431" s="162"/>
      <c r="P431" s="162"/>
      <c r="Q431" s="162"/>
    </row>
    <row r="432" spans="2:17" x14ac:dyDescent="0.25">
      <c r="B432" s="120"/>
      <c r="C432" s="120"/>
      <c r="D432" s="120"/>
      <c r="E432" s="162"/>
      <c r="F432" s="162"/>
      <c r="G432" s="162"/>
      <c r="H432" s="162"/>
      <c r="I432" s="162"/>
      <c r="J432" s="162"/>
      <c r="K432" s="162"/>
      <c r="L432" s="162"/>
      <c r="M432" s="162"/>
      <c r="N432" s="162"/>
      <c r="O432" s="162"/>
      <c r="P432" s="162"/>
      <c r="Q432" s="162"/>
    </row>
    <row r="433" spans="2:17" x14ac:dyDescent="0.25">
      <c r="B433" s="120"/>
      <c r="C433" s="120"/>
      <c r="D433" s="120"/>
      <c r="E433" s="162"/>
      <c r="F433" s="162"/>
      <c r="G433" s="162"/>
      <c r="H433" s="162"/>
      <c r="I433" s="162"/>
      <c r="J433" s="162"/>
      <c r="K433" s="162"/>
      <c r="L433" s="162"/>
      <c r="M433" s="162"/>
      <c r="N433" s="162"/>
      <c r="O433" s="162"/>
      <c r="P433" s="162"/>
      <c r="Q433" s="162"/>
    </row>
    <row r="434" spans="2:17" x14ac:dyDescent="0.25">
      <c r="B434" s="120"/>
      <c r="C434" s="120"/>
      <c r="D434" s="120"/>
      <c r="E434" s="162"/>
      <c r="F434" s="162"/>
      <c r="G434" s="162"/>
      <c r="H434" s="162"/>
      <c r="I434" s="162"/>
      <c r="J434" s="162"/>
      <c r="K434" s="162"/>
      <c r="L434" s="162"/>
      <c r="M434" s="162"/>
      <c r="N434" s="162"/>
      <c r="O434" s="162"/>
      <c r="P434" s="162"/>
      <c r="Q434" s="162"/>
    </row>
    <row r="435" spans="2:17" x14ac:dyDescent="0.25">
      <c r="B435" s="120"/>
      <c r="C435" s="120"/>
      <c r="D435" s="120"/>
      <c r="E435" s="162"/>
      <c r="F435" s="162"/>
      <c r="G435" s="162"/>
      <c r="H435" s="162"/>
      <c r="I435" s="162"/>
      <c r="J435" s="162"/>
      <c r="K435" s="162"/>
      <c r="L435" s="162"/>
      <c r="M435" s="162"/>
      <c r="N435" s="162"/>
      <c r="O435" s="162"/>
      <c r="P435" s="162"/>
      <c r="Q435" s="162"/>
    </row>
    <row r="436" spans="2:17" x14ac:dyDescent="0.25">
      <c r="B436" s="120"/>
      <c r="C436" s="120"/>
      <c r="D436" s="120"/>
      <c r="E436" s="162"/>
      <c r="F436" s="162"/>
      <c r="G436" s="162"/>
      <c r="H436" s="162"/>
      <c r="I436" s="162"/>
      <c r="J436" s="162"/>
      <c r="K436" s="162"/>
      <c r="L436" s="162"/>
      <c r="M436" s="162"/>
      <c r="N436" s="162"/>
      <c r="O436" s="162"/>
      <c r="P436" s="162"/>
      <c r="Q436" s="162"/>
    </row>
    <row r="437" spans="2:17" x14ac:dyDescent="0.25">
      <c r="B437" s="120"/>
      <c r="C437" s="120"/>
      <c r="D437" s="120"/>
      <c r="E437" s="162"/>
      <c r="F437" s="162"/>
      <c r="G437" s="162"/>
      <c r="H437" s="162"/>
      <c r="I437" s="162"/>
      <c r="J437" s="162"/>
      <c r="K437" s="162"/>
      <c r="L437" s="162"/>
      <c r="M437" s="162"/>
      <c r="N437" s="162"/>
      <c r="O437" s="162"/>
      <c r="P437" s="162"/>
      <c r="Q437" s="162"/>
    </row>
    <row r="438" spans="2:17" x14ac:dyDescent="0.25">
      <c r="B438" s="120"/>
      <c r="C438" s="120"/>
      <c r="D438" s="120"/>
      <c r="E438" s="162"/>
      <c r="F438" s="162"/>
      <c r="G438" s="162"/>
      <c r="H438" s="162"/>
      <c r="I438" s="162"/>
      <c r="J438" s="162"/>
      <c r="K438" s="162"/>
      <c r="L438" s="162"/>
      <c r="M438" s="162"/>
      <c r="N438" s="162"/>
      <c r="O438" s="162"/>
      <c r="P438" s="162"/>
      <c r="Q438" s="162"/>
    </row>
    <row r="439" spans="2:17" x14ac:dyDescent="0.25">
      <c r="B439" s="120"/>
      <c r="C439" s="120"/>
      <c r="D439" s="120"/>
      <c r="E439" s="162"/>
      <c r="F439" s="162"/>
      <c r="G439" s="162"/>
      <c r="H439" s="162"/>
      <c r="I439" s="162"/>
      <c r="J439" s="162"/>
      <c r="K439" s="162"/>
      <c r="L439" s="162"/>
      <c r="M439" s="162"/>
      <c r="N439" s="162"/>
      <c r="O439" s="162"/>
      <c r="P439" s="162"/>
      <c r="Q439" s="162"/>
    </row>
    <row r="440" spans="2:17" x14ac:dyDescent="0.25">
      <c r="B440" s="120"/>
      <c r="C440" s="120"/>
      <c r="D440" s="120"/>
      <c r="E440" s="162"/>
      <c r="F440" s="162"/>
      <c r="G440" s="162"/>
      <c r="H440" s="162"/>
      <c r="I440" s="162"/>
      <c r="J440" s="162"/>
      <c r="K440" s="162"/>
      <c r="L440" s="162"/>
      <c r="M440" s="162"/>
      <c r="N440" s="162"/>
      <c r="O440" s="162"/>
      <c r="P440" s="162"/>
      <c r="Q440" s="162"/>
    </row>
    <row r="441" spans="2:17" x14ac:dyDescent="0.25">
      <c r="B441" s="120"/>
      <c r="C441" s="120"/>
      <c r="D441" s="120"/>
      <c r="E441" s="162"/>
      <c r="F441" s="162"/>
      <c r="G441" s="162"/>
      <c r="H441" s="162"/>
      <c r="I441" s="162"/>
      <c r="J441" s="162"/>
      <c r="K441" s="162"/>
      <c r="L441" s="162"/>
      <c r="M441" s="162"/>
      <c r="N441" s="162"/>
      <c r="O441" s="162"/>
      <c r="P441" s="162"/>
      <c r="Q441" s="162"/>
    </row>
    <row r="442" spans="2:17" x14ac:dyDescent="0.25">
      <c r="B442" s="120"/>
      <c r="C442" s="120"/>
      <c r="D442" s="120"/>
      <c r="E442" s="162"/>
      <c r="F442" s="162"/>
      <c r="G442" s="162"/>
      <c r="H442" s="162"/>
      <c r="I442" s="162"/>
      <c r="J442" s="162"/>
      <c r="K442" s="162"/>
      <c r="L442" s="162"/>
      <c r="M442" s="162"/>
      <c r="N442" s="162"/>
      <c r="O442" s="162"/>
      <c r="P442" s="162"/>
      <c r="Q442" s="162"/>
    </row>
    <row r="443" spans="2:17" x14ac:dyDescent="0.25">
      <c r="B443" s="120"/>
      <c r="C443" s="120"/>
      <c r="D443" s="120"/>
      <c r="E443" s="162"/>
      <c r="F443" s="162"/>
      <c r="G443" s="162"/>
      <c r="H443" s="162"/>
      <c r="I443" s="162"/>
      <c r="J443" s="162"/>
      <c r="K443" s="162"/>
      <c r="L443" s="162"/>
      <c r="M443" s="162"/>
      <c r="N443" s="162"/>
      <c r="O443" s="162"/>
      <c r="P443" s="162"/>
      <c r="Q443" s="162"/>
    </row>
    <row r="444" spans="2:17" x14ac:dyDescent="0.25">
      <c r="B444" s="120"/>
      <c r="C444" s="120"/>
      <c r="D444" s="120"/>
      <c r="E444" s="162"/>
      <c r="F444" s="162"/>
      <c r="G444" s="162"/>
      <c r="H444" s="162"/>
      <c r="I444" s="162"/>
      <c r="J444" s="162"/>
      <c r="K444" s="162"/>
      <c r="L444" s="162"/>
      <c r="M444" s="162"/>
      <c r="N444" s="162"/>
      <c r="O444" s="162"/>
      <c r="P444" s="162"/>
      <c r="Q444" s="162"/>
    </row>
    <row r="445" spans="2:17" x14ac:dyDescent="0.25">
      <c r="B445" s="120"/>
      <c r="C445" s="120"/>
      <c r="D445" s="120"/>
      <c r="E445" s="162"/>
      <c r="F445" s="162"/>
      <c r="G445" s="162"/>
      <c r="H445" s="162"/>
      <c r="I445" s="162"/>
      <c r="J445" s="162"/>
      <c r="K445" s="162"/>
      <c r="L445" s="162"/>
      <c r="M445" s="162"/>
      <c r="N445" s="162"/>
      <c r="O445" s="162"/>
      <c r="P445" s="162"/>
      <c r="Q445" s="162"/>
    </row>
    <row r="446" spans="2:17" x14ac:dyDescent="0.25">
      <c r="B446" s="120"/>
      <c r="C446" s="120"/>
      <c r="D446" s="120"/>
      <c r="E446" s="162"/>
      <c r="F446" s="162"/>
      <c r="G446" s="162"/>
      <c r="H446" s="162"/>
      <c r="I446" s="162"/>
      <c r="J446" s="162"/>
      <c r="K446" s="162"/>
      <c r="L446" s="162"/>
      <c r="M446" s="162"/>
      <c r="N446" s="162"/>
      <c r="O446" s="162"/>
      <c r="P446" s="162"/>
      <c r="Q446" s="162"/>
    </row>
    <row r="447" spans="2:17" x14ac:dyDescent="0.25">
      <c r="B447" s="120"/>
      <c r="C447" s="120"/>
      <c r="D447" s="120"/>
      <c r="E447" s="162"/>
      <c r="F447" s="162"/>
      <c r="G447" s="162"/>
      <c r="H447" s="162"/>
      <c r="I447" s="162"/>
      <c r="J447" s="162"/>
      <c r="K447" s="162"/>
      <c r="L447" s="162"/>
      <c r="M447" s="162"/>
      <c r="N447" s="162"/>
      <c r="O447" s="162"/>
      <c r="P447" s="162"/>
      <c r="Q447" s="162"/>
    </row>
    <row r="448" spans="2:17" x14ac:dyDescent="0.25">
      <c r="B448" s="120"/>
      <c r="C448" s="120"/>
      <c r="D448" s="120"/>
      <c r="E448" s="162"/>
      <c r="F448" s="162"/>
      <c r="G448" s="162"/>
      <c r="H448" s="162"/>
      <c r="I448" s="162"/>
      <c r="J448" s="162"/>
      <c r="K448" s="162"/>
      <c r="L448" s="162"/>
      <c r="M448" s="162"/>
      <c r="N448" s="162"/>
      <c r="O448" s="162"/>
      <c r="P448" s="162"/>
      <c r="Q448" s="162"/>
    </row>
    <row r="449" spans="2:17" x14ac:dyDescent="0.25">
      <c r="B449" s="120"/>
      <c r="C449" s="120"/>
      <c r="D449" s="120"/>
      <c r="E449" s="162"/>
      <c r="F449" s="162"/>
      <c r="G449" s="162"/>
      <c r="H449" s="162"/>
      <c r="I449" s="162"/>
      <c r="J449" s="162"/>
      <c r="K449" s="162"/>
      <c r="L449" s="162"/>
      <c r="M449" s="162"/>
      <c r="N449" s="162"/>
      <c r="O449" s="162"/>
      <c r="P449" s="162"/>
      <c r="Q449" s="162"/>
    </row>
    <row r="450" spans="2:17" x14ac:dyDescent="0.25">
      <c r="B450" s="120"/>
      <c r="C450" s="120"/>
      <c r="D450" s="120"/>
      <c r="E450" s="162"/>
      <c r="F450" s="162"/>
      <c r="G450" s="162"/>
      <c r="H450" s="162"/>
      <c r="I450" s="162"/>
      <c r="J450" s="162"/>
      <c r="K450" s="162"/>
      <c r="L450" s="162"/>
      <c r="M450" s="162"/>
      <c r="N450" s="162"/>
      <c r="O450" s="162"/>
      <c r="P450" s="162"/>
      <c r="Q450" s="162"/>
    </row>
    <row r="451" spans="2:17" x14ac:dyDescent="0.25">
      <c r="B451" s="120"/>
      <c r="C451" s="120"/>
      <c r="D451" s="120"/>
      <c r="E451" s="162"/>
      <c r="F451" s="162"/>
      <c r="G451" s="162"/>
      <c r="H451" s="162"/>
      <c r="I451" s="162"/>
      <c r="J451" s="162"/>
      <c r="K451" s="162"/>
      <c r="L451" s="162"/>
      <c r="M451" s="162"/>
      <c r="N451" s="162"/>
      <c r="O451" s="162"/>
      <c r="P451" s="162"/>
      <c r="Q451" s="162"/>
    </row>
    <row r="452" spans="2:17" x14ac:dyDescent="0.25">
      <c r="B452" s="120"/>
      <c r="C452" s="120"/>
      <c r="D452" s="120"/>
      <c r="E452" s="162"/>
      <c r="F452" s="162"/>
      <c r="G452" s="162"/>
      <c r="H452" s="162"/>
      <c r="I452" s="162"/>
      <c r="J452" s="162"/>
      <c r="K452" s="162"/>
      <c r="L452" s="162"/>
      <c r="M452" s="162"/>
      <c r="N452" s="162"/>
      <c r="O452" s="162"/>
      <c r="P452" s="162"/>
      <c r="Q452" s="162"/>
    </row>
    <row r="453" spans="2:17" x14ac:dyDescent="0.25">
      <c r="B453" s="120"/>
      <c r="C453" s="120"/>
      <c r="D453" s="120"/>
      <c r="E453" s="162"/>
      <c r="F453" s="162"/>
      <c r="G453" s="162"/>
      <c r="H453" s="162"/>
      <c r="I453" s="162"/>
      <c r="J453" s="162"/>
      <c r="K453" s="162"/>
      <c r="L453" s="162"/>
      <c r="M453" s="162"/>
      <c r="N453" s="162"/>
      <c r="O453" s="162"/>
      <c r="P453" s="162"/>
      <c r="Q453" s="162"/>
    </row>
    <row r="454" spans="2:17" x14ac:dyDescent="0.25">
      <c r="B454" s="120"/>
      <c r="C454" s="120"/>
      <c r="D454" s="120"/>
      <c r="E454" s="162"/>
      <c r="F454" s="162"/>
      <c r="G454" s="162"/>
      <c r="H454" s="162"/>
      <c r="I454" s="162"/>
      <c r="J454" s="162"/>
      <c r="K454" s="162"/>
      <c r="L454" s="162"/>
      <c r="M454" s="162"/>
      <c r="N454" s="162"/>
      <c r="O454" s="162"/>
      <c r="P454" s="162"/>
      <c r="Q454" s="162"/>
    </row>
    <row r="455" spans="2:17" x14ac:dyDescent="0.25">
      <c r="B455" s="120"/>
      <c r="C455" s="120"/>
      <c r="D455" s="120"/>
      <c r="E455" s="162"/>
      <c r="F455" s="162"/>
      <c r="G455" s="162"/>
      <c r="H455" s="162"/>
      <c r="I455" s="162"/>
      <c r="J455" s="162"/>
      <c r="K455" s="162"/>
      <c r="L455" s="162"/>
      <c r="M455" s="162"/>
      <c r="N455" s="162"/>
      <c r="O455" s="162"/>
      <c r="P455" s="162"/>
      <c r="Q455" s="162"/>
    </row>
    <row r="456" spans="2:17" x14ac:dyDescent="0.25">
      <c r="B456" s="120"/>
      <c r="C456" s="120"/>
      <c r="D456" s="120"/>
      <c r="E456" s="162"/>
      <c r="F456" s="162"/>
      <c r="G456" s="162"/>
      <c r="H456" s="162"/>
      <c r="I456" s="162"/>
      <c r="J456" s="162"/>
      <c r="K456" s="162"/>
      <c r="L456" s="162"/>
      <c r="M456" s="162"/>
      <c r="N456" s="162"/>
      <c r="O456" s="162"/>
      <c r="P456" s="162"/>
      <c r="Q456" s="162"/>
    </row>
    <row r="457" spans="2:17" x14ac:dyDescent="0.25">
      <c r="B457" s="120"/>
      <c r="C457" s="120"/>
      <c r="D457" s="120"/>
      <c r="E457" s="162"/>
      <c r="F457" s="162"/>
      <c r="G457" s="162"/>
      <c r="H457" s="162"/>
      <c r="I457" s="162"/>
      <c r="J457" s="162"/>
      <c r="K457" s="162"/>
      <c r="L457" s="162"/>
      <c r="M457" s="162"/>
      <c r="N457" s="162"/>
      <c r="O457" s="162"/>
      <c r="P457" s="162"/>
      <c r="Q457" s="162"/>
    </row>
    <row r="458" spans="2:17" x14ac:dyDescent="0.25">
      <c r="B458" s="120"/>
      <c r="C458" s="120"/>
      <c r="D458" s="120"/>
      <c r="E458" s="162"/>
      <c r="F458" s="162"/>
      <c r="G458" s="162"/>
      <c r="H458" s="162"/>
      <c r="I458" s="162"/>
      <c r="J458" s="162"/>
      <c r="K458" s="162"/>
      <c r="L458" s="162"/>
      <c r="M458" s="162"/>
      <c r="N458" s="162"/>
      <c r="O458" s="162"/>
      <c r="P458" s="162"/>
      <c r="Q458" s="162"/>
    </row>
    <row r="459" spans="2:17" x14ac:dyDescent="0.25">
      <c r="B459" s="120"/>
      <c r="C459" s="120"/>
      <c r="D459" s="120"/>
      <c r="E459" s="162"/>
      <c r="F459" s="162"/>
      <c r="G459" s="162"/>
      <c r="H459" s="162"/>
      <c r="I459" s="162"/>
      <c r="J459" s="162"/>
      <c r="K459" s="162"/>
      <c r="L459" s="162"/>
      <c r="M459" s="162"/>
      <c r="N459" s="162"/>
      <c r="O459" s="162"/>
      <c r="P459" s="162"/>
      <c r="Q459" s="162"/>
    </row>
    <row r="460" spans="2:17" x14ac:dyDescent="0.25">
      <c r="B460" s="120"/>
      <c r="C460" s="120"/>
      <c r="D460" s="120"/>
      <c r="E460" s="162"/>
      <c r="F460" s="162"/>
      <c r="G460" s="162"/>
      <c r="H460" s="162"/>
      <c r="I460" s="162"/>
      <c r="J460" s="162"/>
      <c r="K460" s="162"/>
      <c r="L460" s="162"/>
      <c r="M460" s="162"/>
      <c r="N460" s="162"/>
      <c r="O460" s="162"/>
      <c r="P460" s="162"/>
      <c r="Q460" s="162"/>
    </row>
    <row r="461" spans="2:17" x14ac:dyDescent="0.25">
      <c r="B461" s="120"/>
      <c r="C461" s="120"/>
      <c r="D461" s="120"/>
      <c r="E461" s="162"/>
      <c r="F461" s="162"/>
      <c r="G461" s="162"/>
      <c r="H461" s="162"/>
      <c r="I461" s="162"/>
      <c r="J461" s="162"/>
      <c r="K461" s="162"/>
      <c r="L461" s="162"/>
      <c r="M461" s="162"/>
      <c r="N461" s="162"/>
      <c r="O461" s="162"/>
      <c r="P461" s="162"/>
      <c r="Q461" s="162"/>
    </row>
    <row r="462" spans="2:17" x14ac:dyDescent="0.25">
      <c r="B462" s="120"/>
      <c r="C462" s="120"/>
      <c r="D462" s="120"/>
      <c r="E462" s="162"/>
      <c r="F462" s="162"/>
      <c r="G462" s="162"/>
      <c r="H462" s="162"/>
      <c r="I462" s="162"/>
      <c r="J462" s="162"/>
      <c r="K462" s="162"/>
      <c r="L462" s="162"/>
      <c r="M462" s="162"/>
      <c r="N462" s="162"/>
      <c r="O462" s="162"/>
      <c r="P462" s="162"/>
      <c r="Q462" s="162"/>
    </row>
    <row r="463" spans="2:17" x14ac:dyDescent="0.25">
      <c r="B463" s="120"/>
      <c r="C463" s="120"/>
      <c r="D463" s="120"/>
      <c r="E463" s="162"/>
      <c r="F463" s="162"/>
      <c r="G463" s="162"/>
      <c r="H463" s="162"/>
      <c r="I463" s="162"/>
      <c r="J463" s="162"/>
      <c r="K463" s="162"/>
      <c r="L463" s="162"/>
      <c r="M463" s="162"/>
      <c r="N463" s="162"/>
      <c r="O463" s="162"/>
      <c r="P463" s="162"/>
      <c r="Q463" s="162"/>
    </row>
    <row r="464" spans="2:17" x14ac:dyDescent="0.25">
      <c r="B464" s="120"/>
      <c r="C464" s="120"/>
      <c r="D464" s="120"/>
      <c r="E464" s="162"/>
      <c r="F464" s="162"/>
      <c r="G464" s="162"/>
      <c r="H464" s="162"/>
      <c r="I464" s="162"/>
      <c r="J464" s="162"/>
      <c r="K464" s="162"/>
      <c r="L464" s="162"/>
      <c r="M464" s="162"/>
      <c r="N464" s="162"/>
      <c r="O464" s="162"/>
      <c r="P464" s="162"/>
      <c r="Q464" s="162"/>
    </row>
    <row r="465" spans="2:17" x14ac:dyDescent="0.25">
      <c r="B465" s="120"/>
      <c r="C465" s="120"/>
      <c r="D465" s="120"/>
      <c r="E465" s="162"/>
      <c r="F465" s="162"/>
      <c r="G465" s="162"/>
      <c r="H465" s="162"/>
      <c r="I465" s="162"/>
      <c r="J465" s="162"/>
      <c r="K465" s="162"/>
      <c r="L465" s="162"/>
      <c r="M465" s="162"/>
      <c r="N465" s="162"/>
      <c r="O465" s="162"/>
      <c r="P465" s="162"/>
      <c r="Q465" s="162"/>
    </row>
    <row r="466" spans="2:17" x14ac:dyDescent="0.25">
      <c r="B466" s="120"/>
      <c r="C466" s="120"/>
      <c r="D466" s="120"/>
      <c r="E466" s="162"/>
      <c r="F466" s="162"/>
      <c r="G466" s="162"/>
      <c r="H466" s="162"/>
      <c r="I466" s="162"/>
      <c r="J466" s="162"/>
      <c r="K466" s="162"/>
      <c r="L466" s="162"/>
      <c r="M466" s="162"/>
      <c r="N466" s="162"/>
      <c r="O466" s="162"/>
      <c r="P466" s="162"/>
      <c r="Q466" s="162"/>
    </row>
    <row r="467" spans="2:17" x14ac:dyDescent="0.25">
      <c r="B467" s="120"/>
      <c r="C467" s="120"/>
      <c r="D467" s="120"/>
      <c r="E467" s="162"/>
      <c r="F467" s="162"/>
      <c r="G467" s="162"/>
      <c r="H467" s="162"/>
      <c r="I467" s="162"/>
      <c r="J467" s="162"/>
      <c r="K467" s="162"/>
      <c r="L467" s="162"/>
      <c r="M467" s="162"/>
      <c r="N467" s="162"/>
      <c r="O467" s="162"/>
      <c r="P467" s="162"/>
      <c r="Q467" s="162"/>
    </row>
    <row r="468" spans="2:17" x14ac:dyDescent="0.25">
      <c r="B468" s="120"/>
      <c r="C468" s="120"/>
      <c r="D468" s="120"/>
      <c r="E468" s="162"/>
      <c r="F468" s="162"/>
      <c r="G468" s="162"/>
      <c r="H468" s="162"/>
      <c r="I468" s="162"/>
      <c r="J468" s="162"/>
      <c r="K468" s="162"/>
      <c r="L468" s="162"/>
      <c r="M468" s="162"/>
      <c r="N468" s="162"/>
      <c r="O468" s="162"/>
      <c r="P468" s="162"/>
      <c r="Q468" s="162"/>
    </row>
    <row r="469" spans="2:17" x14ac:dyDescent="0.25">
      <c r="B469" s="120"/>
      <c r="C469" s="120"/>
      <c r="D469" s="120"/>
      <c r="E469" s="162"/>
      <c r="F469" s="162"/>
      <c r="G469" s="162"/>
      <c r="H469" s="162"/>
      <c r="I469" s="162"/>
      <c r="J469" s="162"/>
      <c r="K469" s="162"/>
      <c r="L469" s="162"/>
      <c r="M469" s="162"/>
      <c r="N469" s="162"/>
      <c r="O469" s="162"/>
      <c r="P469" s="162"/>
      <c r="Q469" s="162"/>
    </row>
    <row r="470" spans="2:17" x14ac:dyDescent="0.25">
      <c r="B470" s="120"/>
      <c r="C470" s="120"/>
      <c r="D470" s="120"/>
      <c r="E470" s="162"/>
      <c r="F470" s="162"/>
      <c r="G470" s="162"/>
      <c r="H470" s="162"/>
      <c r="I470" s="162"/>
      <c r="J470" s="162"/>
      <c r="K470" s="162"/>
      <c r="L470" s="162"/>
      <c r="M470" s="162"/>
      <c r="N470" s="162"/>
      <c r="O470" s="162"/>
      <c r="P470" s="162"/>
      <c r="Q470" s="162"/>
    </row>
    <row r="471" spans="2:17" x14ac:dyDescent="0.25">
      <c r="B471" s="120"/>
      <c r="C471" s="120"/>
      <c r="D471" s="120"/>
      <c r="E471" s="162"/>
      <c r="F471" s="162"/>
      <c r="G471" s="162"/>
      <c r="H471" s="162"/>
      <c r="I471" s="162"/>
      <c r="J471" s="162"/>
      <c r="K471" s="162"/>
      <c r="L471" s="162"/>
      <c r="M471" s="162"/>
      <c r="N471" s="162"/>
      <c r="O471" s="162"/>
      <c r="P471" s="162"/>
      <c r="Q471" s="162"/>
    </row>
    <row r="472" spans="2:17" x14ac:dyDescent="0.25">
      <c r="B472" s="120"/>
      <c r="C472" s="120"/>
      <c r="D472" s="120"/>
      <c r="E472" s="162"/>
      <c r="F472" s="162"/>
      <c r="G472" s="162"/>
      <c r="H472" s="162"/>
      <c r="I472" s="162"/>
      <c r="J472" s="162"/>
      <c r="K472" s="162"/>
      <c r="L472" s="162"/>
      <c r="M472" s="162"/>
      <c r="N472" s="162"/>
      <c r="O472" s="162"/>
      <c r="P472" s="162"/>
      <c r="Q472" s="162"/>
    </row>
    <row r="473" spans="2:17" x14ac:dyDescent="0.25">
      <c r="B473" s="120"/>
      <c r="C473" s="120"/>
      <c r="D473" s="120"/>
      <c r="E473" s="162"/>
      <c r="F473" s="162"/>
      <c r="G473" s="162"/>
      <c r="H473" s="162"/>
      <c r="I473" s="162"/>
      <c r="J473" s="162"/>
      <c r="K473" s="162"/>
      <c r="L473" s="162"/>
      <c r="M473" s="162"/>
      <c r="N473" s="162"/>
      <c r="O473" s="162"/>
      <c r="P473" s="162"/>
      <c r="Q473" s="162"/>
    </row>
    <row r="474" spans="2:17" x14ac:dyDescent="0.25">
      <c r="B474" s="120"/>
      <c r="C474" s="120"/>
      <c r="D474" s="120"/>
      <c r="E474" s="162"/>
      <c r="F474" s="162"/>
      <c r="G474" s="162"/>
      <c r="H474" s="162"/>
      <c r="I474" s="162"/>
      <c r="J474" s="162"/>
      <c r="K474" s="162"/>
      <c r="L474" s="162"/>
      <c r="M474" s="162"/>
      <c r="N474" s="162"/>
      <c r="O474" s="162"/>
      <c r="P474" s="162"/>
      <c r="Q474" s="162"/>
    </row>
    <row r="475" spans="2:17" x14ac:dyDescent="0.25">
      <c r="B475" s="120"/>
      <c r="C475" s="120"/>
      <c r="D475" s="120"/>
      <c r="E475" s="162"/>
      <c r="F475" s="162"/>
      <c r="G475" s="162"/>
      <c r="H475" s="162"/>
      <c r="I475" s="162"/>
      <c r="J475" s="162"/>
      <c r="K475" s="162"/>
      <c r="L475" s="162"/>
      <c r="M475" s="162"/>
      <c r="N475" s="162"/>
      <c r="O475" s="162"/>
      <c r="P475" s="162"/>
      <c r="Q475" s="162"/>
    </row>
    <row r="476" spans="2:17" x14ac:dyDescent="0.25">
      <c r="B476" s="120"/>
      <c r="C476" s="120"/>
      <c r="D476" s="120"/>
      <c r="E476" s="162"/>
      <c r="F476" s="162"/>
      <c r="G476" s="162"/>
      <c r="H476" s="162"/>
      <c r="I476" s="162"/>
      <c r="J476" s="162"/>
      <c r="K476" s="162"/>
      <c r="L476" s="162"/>
      <c r="M476" s="162"/>
      <c r="N476" s="162"/>
      <c r="O476" s="162"/>
      <c r="P476" s="162"/>
      <c r="Q476" s="162"/>
    </row>
    <row r="477" spans="2:17" x14ac:dyDescent="0.25">
      <c r="B477" s="120"/>
      <c r="C477" s="120"/>
      <c r="D477" s="120"/>
      <c r="E477" s="162"/>
      <c r="F477" s="162"/>
      <c r="G477" s="162"/>
      <c r="H477" s="162"/>
      <c r="I477" s="162"/>
      <c r="J477" s="162"/>
      <c r="K477" s="162"/>
      <c r="L477" s="162"/>
      <c r="M477" s="162"/>
      <c r="N477" s="162"/>
      <c r="O477" s="162"/>
      <c r="P477" s="162"/>
      <c r="Q477" s="162"/>
    </row>
    <row r="478" spans="2:17" x14ac:dyDescent="0.25">
      <c r="B478" s="120"/>
      <c r="C478" s="120"/>
      <c r="D478" s="120"/>
      <c r="E478" s="162"/>
      <c r="F478" s="162"/>
      <c r="G478" s="162"/>
      <c r="H478" s="162"/>
      <c r="I478" s="162"/>
      <c r="J478" s="162"/>
      <c r="K478" s="162"/>
      <c r="L478" s="162"/>
      <c r="M478" s="162"/>
      <c r="N478" s="162"/>
      <c r="O478" s="162"/>
      <c r="P478" s="162"/>
      <c r="Q478" s="162"/>
    </row>
    <row r="479" spans="2:17" x14ac:dyDescent="0.25">
      <c r="B479" s="120"/>
      <c r="C479" s="120"/>
      <c r="D479" s="120"/>
      <c r="E479" s="162"/>
      <c r="F479" s="162"/>
      <c r="G479" s="162"/>
      <c r="H479" s="162"/>
      <c r="I479" s="162"/>
      <c r="J479" s="162"/>
      <c r="K479" s="162"/>
      <c r="L479" s="162"/>
      <c r="M479" s="162"/>
      <c r="N479" s="162"/>
      <c r="O479" s="162"/>
      <c r="P479" s="162"/>
      <c r="Q479" s="162"/>
    </row>
    <row r="480" spans="2:17" x14ac:dyDescent="0.25">
      <c r="B480" s="120"/>
      <c r="C480" s="120"/>
      <c r="D480" s="120"/>
      <c r="E480" s="162"/>
      <c r="F480" s="162"/>
      <c r="G480" s="162"/>
      <c r="H480" s="162"/>
      <c r="I480" s="162"/>
      <c r="J480" s="162"/>
      <c r="K480" s="162"/>
      <c r="L480" s="162"/>
      <c r="M480" s="162"/>
      <c r="N480" s="162"/>
      <c r="O480" s="162"/>
      <c r="P480" s="162"/>
      <c r="Q480" s="162"/>
    </row>
    <row r="481" spans="2:17" x14ac:dyDescent="0.25">
      <c r="B481" s="120"/>
      <c r="C481" s="120"/>
      <c r="D481" s="120"/>
      <c r="E481" s="162"/>
      <c r="F481" s="162"/>
      <c r="G481" s="162"/>
      <c r="H481" s="162"/>
      <c r="I481" s="162"/>
      <c r="J481" s="162"/>
      <c r="K481" s="162"/>
      <c r="L481" s="162"/>
      <c r="M481" s="162"/>
      <c r="N481" s="162"/>
      <c r="O481" s="162"/>
      <c r="P481" s="162"/>
      <c r="Q481" s="162"/>
    </row>
    <row r="482" spans="2:17" x14ac:dyDescent="0.25">
      <c r="B482" s="120"/>
      <c r="C482" s="120"/>
      <c r="D482" s="120"/>
      <c r="E482" s="162"/>
      <c r="F482" s="162"/>
      <c r="G482" s="162"/>
      <c r="H482" s="162"/>
      <c r="I482" s="162"/>
      <c r="J482" s="162"/>
      <c r="K482" s="162"/>
      <c r="L482" s="162"/>
      <c r="M482" s="162"/>
      <c r="N482" s="162"/>
      <c r="O482" s="162"/>
      <c r="P482" s="162"/>
      <c r="Q482" s="162"/>
    </row>
    <row r="483" spans="2:17" x14ac:dyDescent="0.25">
      <c r="B483" s="120"/>
      <c r="C483" s="120"/>
      <c r="D483" s="120"/>
      <c r="E483" s="162"/>
      <c r="F483" s="162"/>
      <c r="G483" s="162"/>
      <c r="H483" s="162"/>
      <c r="I483" s="162"/>
      <c r="J483" s="162"/>
      <c r="K483" s="162"/>
      <c r="L483" s="162"/>
      <c r="M483" s="162"/>
      <c r="N483" s="162"/>
      <c r="O483" s="162"/>
      <c r="P483" s="162"/>
      <c r="Q483" s="162"/>
    </row>
    <row r="484" spans="2:17" x14ac:dyDescent="0.25">
      <c r="B484" s="120"/>
      <c r="C484" s="120"/>
      <c r="D484" s="120"/>
      <c r="E484" s="162"/>
      <c r="F484" s="162"/>
      <c r="G484" s="162"/>
      <c r="H484" s="162"/>
      <c r="I484" s="162"/>
      <c r="J484" s="162"/>
      <c r="K484" s="162"/>
      <c r="L484" s="162"/>
      <c r="M484" s="162"/>
      <c r="N484" s="162"/>
      <c r="O484" s="162"/>
      <c r="P484" s="162"/>
      <c r="Q484" s="162"/>
    </row>
    <row r="485" spans="2:17" x14ac:dyDescent="0.25">
      <c r="B485" s="120"/>
      <c r="C485" s="120"/>
      <c r="D485" s="120"/>
      <c r="E485" s="162"/>
      <c r="F485" s="162"/>
      <c r="G485" s="162"/>
      <c r="H485" s="162"/>
      <c r="I485" s="162"/>
      <c r="J485" s="162"/>
      <c r="K485" s="162"/>
      <c r="L485" s="162"/>
      <c r="M485" s="162"/>
      <c r="N485" s="162"/>
      <c r="O485" s="162"/>
      <c r="P485" s="162"/>
      <c r="Q485" s="162"/>
    </row>
    <row r="486" spans="2:17" x14ac:dyDescent="0.25">
      <c r="B486" s="120"/>
      <c r="C486" s="120"/>
      <c r="D486" s="120"/>
      <c r="E486" s="162"/>
      <c r="F486" s="162"/>
      <c r="G486" s="162"/>
      <c r="H486" s="162"/>
      <c r="I486" s="162"/>
      <c r="J486" s="162"/>
      <c r="K486" s="162"/>
      <c r="L486" s="162"/>
      <c r="M486" s="162"/>
      <c r="N486" s="162"/>
      <c r="O486" s="162"/>
      <c r="P486" s="162"/>
      <c r="Q486" s="162"/>
    </row>
    <row r="487" spans="2:17" x14ac:dyDescent="0.25">
      <c r="B487" s="120"/>
      <c r="C487" s="120"/>
      <c r="D487" s="120"/>
      <c r="E487" s="162"/>
      <c r="F487" s="162"/>
      <c r="G487" s="162"/>
      <c r="H487" s="162"/>
      <c r="I487" s="162"/>
      <c r="J487" s="162"/>
      <c r="K487" s="162"/>
      <c r="L487" s="162"/>
      <c r="M487" s="162"/>
      <c r="N487" s="162"/>
      <c r="O487" s="162"/>
      <c r="P487" s="162"/>
      <c r="Q487" s="162"/>
    </row>
    <row r="488" spans="2:17" x14ac:dyDescent="0.25">
      <c r="B488" s="120"/>
      <c r="C488" s="120"/>
      <c r="D488" s="120"/>
      <c r="E488" s="162"/>
      <c r="F488" s="162"/>
      <c r="G488" s="162"/>
      <c r="H488" s="162"/>
      <c r="I488" s="162"/>
      <c r="J488" s="162"/>
      <c r="K488" s="162"/>
      <c r="L488" s="162"/>
      <c r="M488" s="162"/>
      <c r="N488" s="162"/>
      <c r="O488" s="162"/>
      <c r="P488" s="162"/>
      <c r="Q488" s="162"/>
    </row>
    <row r="489" spans="2:17" x14ac:dyDescent="0.25">
      <c r="B489" s="120"/>
      <c r="C489" s="120"/>
      <c r="D489" s="120"/>
      <c r="E489" s="162"/>
      <c r="F489" s="162"/>
      <c r="G489" s="162"/>
      <c r="H489" s="162"/>
      <c r="I489" s="162"/>
      <c r="J489" s="162"/>
      <c r="K489" s="162"/>
      <c r="L489" s="162"/>
      <c r="M489" s="162"/>
      <c r="N489" s="162"/>
      <c r="O489" s="162"/>
      <c r="P489" s="162"/>
      <c r="Q489" s="162"/>
    </row>
    <row r="490" spans="2:17" x14ac:dyDescent="0.25">
      <c r="B490" s="120"/>
      <c r="C490" s="120"/>
      <c r="D490" s="120"/>
      <c r="E490" s="162"/>
      <c r="F490" s="162"/>
      <c r="G490" s="162"/>
      <c r="H490" s="162"/>
      <c r="I490" s="162"/>
      <c r="J490" s="162"/>
      <c r="K490" s="162"/>
      <c r="L490" s="162"/>
      <c r="M490" s="162"/>
      <c r="N490" s="162"/>
      <c r="O490" s="162"/>
      <c r="P490" s="162"/>
      <c r="Q490" s="162"/>
    </row>
    <row r="491" spans="2:17" x14ac:dyDescent="0.25">
      <c r="B491" s="120"/>
      <c r="C491" s="120"/>
      <c r="D491" s="120"/>
      <c r="E491" s="162"/>
      <c r="F491" s="162"/>
      <c r="G491" s="162"/>
      <c r="H491" s="162"/>
      <c r="I491" s="162"/>
      <c r="J491" s="162"/>
      <c r="K491" s="162"/>
      <c r="L491" s="162"/>
      <c r="M491" s="162"/>
      <c r="N491" s="162"/>
      <c r="O491" s="162"/>
      <c r="P491" s="162"/>
      <c r="Q491" s="162"/>
    </row>
    <row r="492" spans="2:17" x14ac:dyDescent="0.25">
      <c r="B492" s="120"/>
      <c r="C492" s="120"/>
      <c r="D492" s="120"/>
      <c r="E492" s="162"/>
      <c r="F492" s="162"/>
      <c r="G492" s="162"/>
      <c r="H492" s="162"/>
      <c r="I492" s="162"/>
      <c r="J492" s="162"/>
      <c r="K492" s="162"/>
      <c r="L492" s="162"/>
      <c r="M492" s="162"/>
      <c r="N492" s="162"/>
      <c r="O492" s="162"/>
      <c r="P492" s="162"/>
      <c r="Q492" s="162"/>
    </row>
    <row r="493" spans="2:17" x14ac:dyDescent="0.25">
      <c r="B493" s="120"/>
      <c r="C493" s="120"/>
      <c r="D493" s="120"/>
      <c r="E493" s="162"/>
      <c r="F493" s="162"/>
      <c r="G493" s="162"/>
      <c r="H493" s="162"/>
      <c r="I493" s="162"/>
      <c r="J493" s="162"/>
      <c r="K493" s="162"/>
      <c r="L493" s="162"/>
      <c r="M493" s="162"/>
      <c r="N493" s="162"/>
      <c r="O493" s="162"/>
      <c r="P493" s="162"/>
      <c r="Q493" s="162"/>
    </row>
    <row r="494" spans="2:17" x14ac:dyDescent="0.25">
      <c r="B494" s="120"/>
      <c r="C494" s="120"/>
      <c r="D494" s="120"/>
      <c r="E494" s="162"/>
      <c r="F494" s="162"/>
      <c r="G494" s="162"/>
      <c r="H494" s="162"/>
      <c r="I494" s="162"/>
      <c r="J494" s="162"/>
      <c r="K494" s="162"/>
      <c r="L494" s="162"/>
      <c r="M494" s="162"/>
      <c r="N494" s="162"/>
      <c r="O494" s="162"/>
      <c r="P494" s="162"/>
      <c r="Q494" s="162"/>
    </row>
    <row r="495" spans="2:17" x14ac:dyDescent="0.25">
      <c r="B495" s="120"/>
      <c r="C495" s="120"/>
      <c r="D495" s="120"/>
      <c r="E495" s="162"/>
      <c r="F495" s="162"/>
      <c r="G495" s="162"/>
      <c r="H495" s="162"/>
      <c r="I495" s="162"/>
      <c r="J495" s="162"/>
      <c r="K495" s="162"/>
      <c r="L495" s="162"/>
      <c r="M495" s="162"/>
      <c r="N495" s="162"/>
      <c r="O495" s="162"/>
      <c r="P495" s="162"/>
      <c r="Q495" s="162"/>
    </row>
    <row r="496" spans="2:17" x14ac:dyDescent="0.25">
      <c r="B496" s="120"/>
      <c r="C496" s="120"/>
      <c r="D496" s="120"/>
      <c r="E496" s="162"/>
      <c r="F496" s="162"/>
      <c r="G496" s="162"/>
      <c r="H496" s="162"/>
      <c r="I496" s="162"/>
      <c r="J496" s="162"/>
      <c r="K496" s="162"/>
      <c r="L496" s="162"/>
      <c r="M496" s="162"/>
      <c r="N496" s="162"/>
      <c r="O496" s="162"/>
      <c r="P496" s="162"/>
      <c r="Q496" s="162"/>
    </row>
    <row r="497" spans="2:17" x14ac:dyDescent="0.25">
      <c r="B497" s="120"/>
      <c r="C497" s="120"/>
      <c r="D497" s="120"/>
      <c r="E497" s="162"/>
      <c r="F497" s="162"/>
      <c r="G497" s="162"/>
      <c r="H497" s="162"/>
      <c r="I497" s="162"/>
      <c r="J497" s="162"/>
      <c r="K497" s="162"/>
      <c r="L497" s="162"/>
      <c r="M497" s="162"/>
      <c r="N497" s="162"/>
      <c r="O497" s="162"/>
      <c r="P497" s="162"/>
      <c r="Q497" s="162"/>
    </row>
    <row r="498" spans="2:17" x14ac:dyDescent="0.25">
      <c r="B498" s="120"/>
      <c r="C498" s="120"/>
      <c r="D498" s="120"/>
      <c r="E498" s="162"/>
      <c r="F498" s="162"/>
      <c r="G498" s="162"/>
      <c r="H498" s="162"/>
      <c r="I498" s="162"/>
      <c r="J498" s="162"/>
      <c r="K498" s="162"/>
      <c r="L498" s="162"/>
      <c r="M498" s="162"/>
      <c r="N498" s="162"/>
      <c r="O498" s="162"/>
      <c r="P498" s="162"/>
      <c r="Q498" s="162"/>
    </row>
    <row r="499" spans="2:17" x14ac:dyDescent="0.25">
      <c r="B499" s="120"/>
      <c r="C499" s="120"/>
      <c r="D499" s="120"/>
      <c r="E499" s="162"/>
      <c r="F499" s="162"/>
      <c r="G499" s="162"/>
      <c r="H499" s="162"/>
      <c r="I499" s="162"/>
      <c r="J499" s="162"/>
      <c r="K499" s="162"/>
      <c r="L499" s="162"/>
      <c r="M499" s="162"/>
      <c r="N499" s="162"/>
      <c r="O499" s="162"/>
      <c r="P499" s="162"/>
      <c r="Q499" s="162"/>
    </row>
    <row r="500" spans="2:17" x14ac:dyDescent="0.25">
      <c r="B500" s="120"/>
      <c r="C500" s="120"/>
      <c r="D500" s="120"/>
      <c r="E500" s="162"/>
      <c r="F500" s="162"/>
      <c r="G500" s="162"/>
      <c r="H500" s="162"/>
      <c r="I500" s="162"/>
      <c r="J500" s="162"/>
      <c r="K500" s="162"/>
      <c r="L500" s="162"/>
      <c r="M500" s="162"/>
      <c r="N500" s="162"/>
      <c r="O500" s="162"/>
      <c r="P500" s="162"/>
      <c r="Q500" s="162"/>
    </row>
    <row r="501" spans="2:17" x14ac:dyDescent="0.25">
      <c r="B501" s="120"/>
      <c r="C501" s="120"/>
      <c r="D501" s="120"/>
      <c r="E501" s="162"/>
      <c r="F501" s="162"/>
      <c r="G501" s="162"/>
      <c r="H501" s="162"/>
      <c r="I501" s="162"/>
      <c r="J501" s="162"/>
      <c r="K501" s="162"/>
      <c r="L501" s="162"/>
      <c r="M501" s="162"/>
      <c r="N501" s="162"/>
      <c r="O501" s="162"/>
      <c r="P501" s="162"/>
      <c r="Q501" s="162"/>
    </row>
    <row r="502" spans="2:17" x14ac:dyDescent="0.25">
      <c r="B502" s="120"/>
      <c r="C502" s="120"/>
      <c r="D502" s="120"/>
      <c r="E502" s="162"/>
      <c r="F502" s="162"/>
      <c r="G502" s="162"/>
      <c r="H502" s="162"/>
      <c r="I502" s="162"/>
      <c r="J502" s="162"/>
      <c r="K502" s="162"/>
      <c r="L502" s="162"/>
      <c r="M502" s="162"/>
      <c r="N502" s="162"/>
      <c r="O502" s="162"/>
      <c r="P502" s="162"/>
      <c r="Q502" s="162"/>
    </row>
    <row r="503" spans="2:17" x14ac:dyDescent="0.25">
      <c r="B503" s="120"/>
      <c r="C503" s="120"/>
      <c r="D503" s="120"/>
      <c r="E503" s="162"/>
      <c r="F503" s="162"/>
      <c r="G503" s="162"/>
      <c r="H503" s="162"/>
      <c r="I503" s="162"/>
      <c r="J503" s="162"/>
      <c r="K503" s="162"/>
      <c r="L503" s="162"/>
      <c r="M503" s="162"/>
      <c r="N503" s="162"/>
      <c r="O503" s="162"/>
      <c r="P503" s="162"/>
      <c r="Q503" s="162"/>
    </row>
    <row r="504" spans="2:17" x14ac:dyDescent="0.25">
      <c r="B504" s="120"/>
      <c r="C504" s="120"/>
      <c r="D504" s="120"/>
      <c r="E504" s="162"/>
      <c r="F504" s="162"/>
      <c r="G504" s="162"/>
      <c r="H504" s="162"/>
      <c r="I504" s="162"/>
      <c r="J504" s="162"/>
      <c r="K504" s="162"/>
      <c r="L504" s="162"/>
      <c r="M504" s="162"/>
      <c r="N504" s="162"/>
      <c r="O504" s="162"/>
      <c r="P504" s="162"/>
      <c r="Q504" s="162"/>
    </row>
    <row r="505" spans="2:17" x14ac:dyDescent="0.25">
      <c r="B505" s="120"/>
      <c r="C505" s="120"/>
      <c r="D505" s="120"/>
      <c r="E505" s="162"/>
      <c r="F505" s="162"/>
      <c r="G505" s="162"/>
      <c r="H505" s="162"/>
      <c r="I505" s="162"/>
      <c r="J505" s="162"/>
      <c r="K505" s="162"/>
      <c r="L505" s="162"/>
      <c r="M505" s="162"/>
      <c r="N505" s="162"/>
      <c r="O505" s="162"/>
      <c r="P505" s="162"/>
      <c r="Q505" s="162"/>
    </row>
    <row r="506" spans="2:17" x14ac:dyDescent="0.25">
      <c r="B506" s="120"/>
      <c r="C506" s="120"/>
      <c r="D506" s="120"/>
      <c r="E506" s="162"/>
      <c r="F506" s="162"/>
      <c r="G506" s="162"/>
      <c r="H506" s="162"/>
      <c r="I506" s="162"/>
      <c r="J506" s="162"/>
      <c r="K506" s="162"/>
      <c r="L506" s="162"/>
      <c r="M506" s="162"/>
      <c r="N506" s="162"/>
      <c r="O506" s="162"/>
      <c r="P506" s="162"/>
      <c r="Q506" s="162"/>
    </row>
    <row r="507" spans="2:17" x14ac:dyDescent="0.25">
      <c r="B507" s="120"/>
      <c r="C507" s="120"/>
      <c r="D507" s="120"/>
      <c r="E507" s="162"/>
      <c r="F507" s="162"/>
      <c r="G507" s="162"/>
      <c r="H507" s="162"/>
      <c r="I507" s="162"/>
      <c r="J507" s="162"/>
      <c r="K507" s="162"/>
      <c r="L507" s="162"/>
      <c r="M507" s="162"/>
      <c r="N507" s="162"/>
      <c r="O507" s="162"/>
      <c r="P507" s="162"/>
      <c r="Q507" s="162"/>
    </row>
    <row r="508" spans="2:17" x14ac:dyDescent="0.25">
      <c r="B508" s="120"/>
      <c r="C508" s="120"/>
      <c r="D508" s="120"/>
      <c r="E508" s="162"/>
      <c r="F508" s="162"/>
      <c r="G508" s="162"/>
      <c r="H508" s="162"/>
      <c r="I508" s="162"/>
      <c r="J508" s="162"/>
      <c r="K508" s="162"/>
      <c r="L508" s="162"/>
      <c r="M508" s="162"/>
      <c r="N508" s="162"/>
      <c r="O508" s="162"/>
      <c r="P508" s="162"/>
      <c r="Q508" s="162"/>
    </row>
    <row r="509" spans="2:17" x14ac:dyDescent="0.25">
      <c r="B509" s="120"/>
      <c r="C509" s="120"/>
      <c r="D509" s="120"/>
      <c r="E509" s="162"/>
      <c r="F509" s="162"/>
      <c r="G509" s="162"/>
      <c r="H509" s="162"/>
      <c r="I509" s="162"/>
      <c r="J509" s="162"/>
      <c r="K509" s="162"/>
      <c r="L509" s="162"/>
      <c r="M509" s="162"/>
      <c r="N509" s="162"/>
      <c r="O509" s="162"/>
      <c r="P509" s="162"/>
      <c r="Q509" s="162"/>
    </row>
    <row r="510" spans="2:17" x14ac:dyDescent="0.25">
      <c r="B510" s="120"/>
      <c r="C510" s="120"/>
      <c r="D510" s="120"/>
      <c r="E510" s="162"/>
      <c r="F510" s="162"/>
      <c r="G510" s="162"/>
      <c r="H510" s="162"/>
      <c r="I510" s="162"/>
      <c r="J510" s="162"/>
      <c r="K510" s="162"/>
      <c r="L510" s="162"/>
      <c r="M510" s="162"/>
      <c r="N510" s="162"/>
      <c r="O510" s="162"/>
      <c r="P510" s="162"/>
      <c r="Q510" s="162"/>
    </row>
    <row r="511" spans="2:17" x14ac:dyDescent="0.25">
      <c r="B511" s="120"/>
      <c r="C511" s="120"/>
      <c r="D511" s="120"/>
      <c r="E511" s="162"/>
      <c r="F511" s="162"/>
      <c r="G511" s="162"/>
      <c r="H511" s="162"/>
      <c r="I511" s="162"/>
      <c r="J511" s="162"/>
      <c r="K511" s="162"/>
      <c r="L511" s="162"/>
      <c r="M511" s="162"/>
      <c r="N511" s="162"/>
      <c r="O511" s="162"/>
      <c r="P511" s="162"/>
      <c r="Q511" s="162"/>
    </row>
    <row r="512" spans="2:17" x14ac:dyDescent="0.25">
      <c r="B512" s="120"/>
      <c r="C512" s="120"/>
      <c r="D512" s="120"/>
      <c r="E512" s="162"/>
      <c r="F512" s="162"/>
      <c r="G512" s="162"/>
      <c r="H512" s="162"/>
      <c r="I512" s="162"/>
      <c r="J512" s="162"/>
      <c r="K512" s="162"/>
      <c r="L512" s="162"/>
      <c r="M512" s="162"/>
      <c r="N512" s="162"/>
      <c r="O512" s="162"/>
      <c r="P512" s="162"/>
      <c r="Q512" s="162"/>
    </row>
    <row r="513" spans="2:17" x14ac:dyDescent="0.25">
      <c r="B513" s="120"/>
      <c r="C513" s="120"/>
      <c r="D513" s="120"/>
      <c r="E513" s="162"/>
      <c r="F513" s="162"/>
      <c r="G513" s="162"/>
      <c r="H513" s="162"/>
      <c r="I513" s="162"/>
      <c r="J513" s="162"/>
      <c r="K513" s="162"/>
      <c r="L513" s="162"/>
      <c r="M513" s="162"/>
      <c r="N513" s="162"/>
      <c r="O513" s="162"/>
      <c r="P513" s="162"/>
      <c r="Q513" s="162"/>
    </row>
    <row r="514" spans="2:17" x14ac:dyDescent="0.25">
      <c r="B514" s="120"/>
      <c r="C514" s="120"/>
      <c r="D514" s="120"/>
      <c r="E514" s="162"/>
      <c r="F514" s="162"/>
      <c r="G514" s="162"/>
      <c r="H514" s="162"/>
      <c r="I514" s="162"/>
      <c r="J514" s="162"/>
      <c r="K514" s="162"/>
      <c r="L514" s="162"/>
      <c r="M514" s="162"/>
      <c r="N514" s="162"/>
      <c r="O514" s="162"/>
      <c r="P514" s="162"/>
      <c r="Q514" s="162"/>
    </row>
    <row r="515" spans="2:17" x14ac:dyDescent="0.25">
      <c r="B515" s="120"/>
      <c r="C515" s="120"/>
      <c r="D515" s="120"/>
      <c r="E515" s="162"/>
      <c r="F515" s="162"/>
      <c r="G515" s="162"/>
      <c r="H515" s="162"/>
      <c r="I515" s="162"/>
      <c r="J515" s="162"/>
      <c r="K515" s="162"/>
      <c r="L515" s="162"/>
      <c r="M515" s="162"/>
      <c r="N515" s="162"/>
      <c r="O515" s="162"/>
      <c r="P515" s="162"/>
      <c r="Q515" s="162"/>
    </row>
    <row r="516" spans="2:17" x14ac:dyDescent="0.25">
      <c r="B516" s="120"/>
      <c r="C516" s="120"/>
      <c r="D516" s="120"/>
      <c r="E516" s="162"/>
      <c r="F516" s="162"/>
      <c r="G516" s="162"/>
      <c r="H516" s="162"/>
      <c r="I516" s="162"/>
      <c r="J516" s="162"/>
      <c r="K516" s="162"/>
      <c r="L516" s="162"/>
      <c r="M516" s="162"/>
      <c r="N516" s="162"/>
      <c r="O516" s="162"/>
      <c r="P516" s="162"/>
      <c r="Q516" s="162"/>
    </row>
    <row r="517" spans="2:17" x14ac:dyDescent="0.25">
      <c r="B517" s="120"/>
      <c r="C517" s="120"/>
      <c r="D517" s="120"/>
      <c r="E517" s="162"/>
      <c r="F517" s="162"/>
      <c r="G517" s="162"/>
      <c r="H517" s="162"/>
      <c r="I517" s="162"/>
      <c r="J517" s="162"/>
      <c r="K517" s="162"/>
      <c r="L517" s="162"/>
      <c r="M517" s="162"/>
      <c r="N517" s="162"/>
      <c r="O517" s="162"/>
      <c r="P517" s="162"/>
      <c r="Q517" s="162"/>
    </row>
    <row r="518" spans="2:17" x14ac:dyDescent="0.25">
      <c r="B518" s="120"/>
      <c r="C518" s="120"/>
      <c r="D518" s="120"/>
      <c r="E518" s="162"/>
      <c r="F518" s="162"/>
      <c r="G518" s="162"/>
      <c r="H518" s="162"/>
      <c r="I518" s="162"/>
      <c r="J518" s="162"/>
      <c r="K518" s="162"/>
      <c r="L518" s="162"/>
      <c r="M518" s="162"/>
      <c r="N518" s="162"/>
      <c r="O518" s="162"/>
      <c r="P518" s="162"/>
      <c r="Q518" s="162"/>
    </row>
    <row r="519" spans="2:17" x14ac:dyDescent="0.25">
      <c r="B519" s="120"/>
      <c r="C519" s="120"/>
      <c r="D519" s="120"/>
      <c r="E519" s="162"/>
      <c r="F519" s="162"/>
      <c r="G519" s="162"/>
      <c r="H519" s="162"/>
      <c r="I519" s="162"/>
      <c r="J519" s="162"/>
      <c r="K519" s="162"/>
      <c r="L519" s="162"/>
      <c r="M519" s="162"/>
      <c r="N519" s="162"/>
      <c r="O519" s="162"/>
      <c r="P519" s="162"/>
      <c r="Q519" s="162"/>
    </row>
    <row r="520" spans="2:17" x14ac:dyDescent="0.25">
      <c r="B520" s="120"/>
      <c r="C520" s="120"/>
      <c r="D520" s="120"/>
      <c r="E520" s="162"/>
      <c r="F520" s="162"/>
      <c r="G520" s="162"/>
      <c r="H520" s="162"/>
      <c r="I520" s="162"/>
      <c r="J520" s="162"/>
      <c r="K520" s="162"/>
      <c r="L520" s="162"/>
      <c r="M520" s="162"/>
      <c r="N520" s="162"/>
      <c r="O520" s="162"/>
      <c r="P520" s="162"/>
      <c r="Q520" s="162"/>
    </row>
    <row r="521" spans="2:17" x14ac:dyDescent="0.25">
      <c r="B521" s="120"/>
      <c r="C521" s="120"/>
      <c r="D521" s="120"/>
      <c r="E521" s="162"/>
      <c r="F521" s="162"/>
      <c r="G521" s="162"/>
      <c r="H521" s="162"/>
      <c r="I521" s="162"/>
      <c r="J521" s="162"/>
      <c r="K521" s="162"/>
      <c r="L521" s="162"/>
      <c r="M521" s="162"/>
      <c r="N521" s="162"/>
      <c r="O521" s="162"/>
      <c r="P521" s="162"/>
      <c r="Q521" s="162"/>
    </row>
    <row r="522" spans="2:17" x14ac:dyDescent="0.25">
      <c r="B522" s="120"/>
      <c r="C522" s="120"/>
      <c r="D522" s="120"/>
      <c r="E522" s="162"/>
      <c r="F522" s="162"/>
      <c r="G522" s="162"/>
      <c r="H522" s="162"/>
      <c r="I522" s="162"/>
      <c r="J522" s="162"/>
      <c r="K522" s="162"/>
      <c r="L522" s="162"/>
      <c r="M522" s="162"/>
      <c r="N522" s="162"/>
      <c r="O522" s="162"/>
      <c r="P522" s="162"/>
      <c r="Q522" s="162"/>
    </row>
    <row r="523" spans="2:17" x14ac:dyDescent="0.25">
      <c r="B523" s="120"/>
      <c r="C523" s="120"/>
      <c r="D523" s="120"/>
      <c r="E523" s="162"/>
      <c r="F523" s="162"/>
      <c r="G523" s="162"/>
      <c r="H523" s="162"/>
      <c r="I523" s="162"/>
      <c r="J523" s="162"/>
      <c r="K523" s="162"/>
      <c r="L523" s="162"/>
      <c r="M523" s="162"/>
      <c r="N523" s="162"/>
      <c r="O523" s="162"/>
      <c r="P523" s="162"/>
      <c r="Q523" s="162"/>
    </row>
    <row r="524" spans="2:17" x14ac:dyDescent="0.25">
      <c r="B524" s="120"/>
      <c r="C524" s="120"/>
      <c r="D524" s="120"/>
      <c r="E524" s="162"/>
      <c r="F524" s="162"/>
      <c r="G524" s="162"/>
      <c r="H524" s="162"/>
      <c r="I524" s="162"/>
      <c r="J524" s="162"/>
      <c r="K524" s="162"/>
      <c r="L524" s="162"/>
      <c r="M524" s="162"/>
      <c r="N524" s="162"/>
      <c r="O524" s="162"/>
      <c r="P524" s="162"/>
      <c r="Q524" s="162"/>
    </row>
    <row r="525" spans="2:17" x14ac:dyDescent="0.25">
      <c r="B525" s="120"/>
      <c r="C525" s="120"/>
      <c r="D525" s="120"/>
      <c r="E525" s="162"/>
      <c r="F525" s="162"/>
      <c r="G525" s="162"/>
      <c r="H525" s="162"/>
      <c r="I525" s="162"/>
      <c r="J525" s="162"/>
      <c r="K525" s="162"/>
      <c r="L525" s="162"/>
      <c r="M525" s="162"/>
      <c r="N525" s="162"/>
      <c r="O525" s="162"/>
      <c r="P525" s="162"/>
      <c r="Q525" s="162"/>
    </row>
    <row r="526" spans="2:17" x14ac:dyDescent="0.25">
      <c r="B526" s="120"/>
      <c r="C526" s="120"/>
      <c r="D526" s="120"/>
      <c r="E526" s="162"/>
      <c r="F526" s="162"/>
      <c r="G526" s="162"/>
      <c r="H526" s="162"/>
      <c r="I526" s="162"/>
      <c r="J526" s="162"/>
      <c r="K526" s="162"/>
      <c r="L526" s="162"/>
      <c r="M526" s="162"/>
      <c r="N526" s="162"/>
      <c r="O526" s="162"/>
      <c r="P526" s="162"/>
      <c r="Q526" s="162"/>
    </row>
    <row r="527" spans="2:17" x14ac:dyDescent="0.25">
      <c r="B527" s="120"/>
      <c r="C527" s="120"/>
      <c r="D527" s="120"/>
      <c r="E527" s="162"/>
      <c r="F527" s="162"/>
      <c r="G527" s="162"/>
      <c r="H527" s="162"/>
      <c r="I527" s="162"/>
      <c r="J527" s="162"/>
      <c r="K527" s="162"/>
      <c r="L527" s="162"/>
      <c r="M527" s="162"/>
      <c r="N527" s="162"/>
      <c r="O527" s="162"/>
      <c r="P527" s="162"/>
      <c r="Q527" s="162"/>
    </row>
    <row r="528" spans="2:17" x14ac:dyDescent="0.25">
      <c r="B528" s="120"/>
      <c r="C528" s="120"/>
      <c r="D528" s="120"/>
      <c r="E528" s="162"/>
      <c r="F528" s="162"/>
      <c r="G528" s="162"/>
      <c r="H528" s="162"/>
      <c r="I528" s="162"/>
      <c r="J528" s="162"/>
      <c r="K528" s="162"/>
      <c r="L528" s="162"/>
      <c r="M528" s="162"/>
      <c r="N528" s="162"/>
      <c r="O528" s="162"/>
      <c r="P528" s="162"/>
      <c r="Q528" s="162"/>
    </row>
    <row r="529" spans="2:17" x14ac:dyDescent="0.25">
      <c r="B529" s="120"/>
      <c r="C529" s="120"/>
      <c r="D529" s="120"/>
      <c r="E529" s="162"/>
      <c r="F529" s="162"/>
      <c r="G529" s="162"/>
      <c r="H529" s="162"/>
      <c r="I529" s="162"/>
      <c r="J529" s="162"/>
      <c r="K529" s="162"/>
      <c r="L529" s="162"/>
      <c r="M529" s="162"/>
      <c r="N529" s="162"/>
      <c r="O529" s="162"/>
      <c r="P529" s="162"/>
      <c r="Q529" s="162"/>
    </row>
    <row r="530" spans="2:17" x14ac:dyDescent="0.25">
      <c r="B530" s="120"/>
      <c r="C530" s="120"/>
      <c r="D530" s="120"/>
      <c r="E530" s="162"/>
      <c r="F530" s="162"/>
      <c r="G530" s="162"/>
      <c r="H530" s="162"/>
      <c r="I530" s="162"/>
      <c r="J530" s="162"/>
      <c r="K530" s="162"/>
      <c r="L530" s="162"/>
      <c r="M530" s="162"/>
      <c r="N530" s="162"/>
      <c r="O530" s="162"/>
      <c r="P530" s="162"/>
      <c r="Q530" s="162"/>
    </row>
    <row r="531" spans="2:17" x14ac:dyDescent="0.25">
      <c r="B531" s="120"/>
      <c r="C531" s="120"/>
      <c r="D531" s="120"/>
      <c r="E531" s="162"/>
      <c r="F531" s="162"/>
      <c r="G531" s="162"/>
      <c r="H531" s="162"/>
      <c r="I531" s="162"/>
      <c r="J531" s="162"/>
      <c r="K531" s="162"/>
      <c r="L531" s="162"/>
      <c r="M531" s="162"/>
      <c r="N531" s="162"/>
      <c r="O531" s="162"/>
      <c r="P531" s="162"/>
      <c r="Q531" s="162"/>
    </row>
    <row r="532" spans="2:17" x14ac:dyDescent="0.25">
      <c r="B532" s="120"/>
      <c r="C532" s="120"/>
      <c r="D532" s="120"/>
      <c r="E532" s="162"/>
      <c r="F532" s="162"/>
      <c r="G532" s="162"/>
      <c r="H532" s="162"/>
      <c r="I532" s="162"/>
      <c r="J532" s="162"/>
      <c r="K532" s="162"/>
      <c r="L532" s="162"/>
      <c r="M532" s="162"/>
      <c r="N532" s="162"/>
      <c r="O532" s="162"/>
      <c r="P532" s="162"/>
      <c r="Q532" s="162"/>
    </row>
    <row r="533" spans="2:17" x14ac:dyDescent="0.25">
      <c r="B533" s="120"/>
      <c r="C533" s="120"/>
      <c r="D533" s="120"/>
      <c r="E533" s="162"/>
      <c r="F533" s="162"/>
      <c r="G533" s="162"/>
      <c r="H533" s="162"/>
      <c r="I533" s="162"/>
      <c r="J533" s="162"/>
      <c r="K533" s="162"/>
      <c r="L533" s="162"/>
      <c r="M533" s="162"/>
      <c r="N533" s="162"/>
      <c r="O533" s="162"/>
      <c r="P533" s="162"/>
      <c r="Q533" s="162"/>
    </row>
    <row r="534" spans="2:17" x14ac:dyDescent="0.25">
      <c r="B534" s="120"/>
      <c r="C534" s="120"/>
      <c r="D534" s="120"/>
      <c r="E534" s="162"/>
      <c r="F534" s="162"/>
      <c r="G534" s="162"/>
      <c r="H534" s="162"/>
      <c r="I534" s="162"/>
      <c r="J534" s="162"/>
      <c r="K534" s="162"/>
      <c r="L534" s="162"/>
      <c r="M534" s="162"/>
      <c r="N534" s="162"/>
      <c r="O534" s="162"/>
      <c r="P534" s="162"/>
      <c r="Q534" s="162"/>
    </row>
    <row r="535" spans="2:17" x14ac:dyDescent="0.25">
      <c r="B535" s="120"/>
      <c r="C535" s="120"/>
      <c r="D535" s="120"/>
      <c r="E535" s="162"/>
      <c r="F535" s="162"/>
      <c r="G535" s="162"/>
      <c r="H535" s="162"/>
      <c r="I535" s="162"/>
      <c r="J535" s="162"/>
      <c r="K535" s="162"/>
      <c r="L535" s="162"/>
      <c r="M535" s="162"/>
      <c r="N535" s="162"/>
      <c r="O535" s="162"/>
      <c r="P535" s="162"/>
      <c r="Q535" s="162"/>
    </row>
    <row r="536" spans="2:17" x14ac:dyDescent="0.25">
      <c r="B536" s="120"/>
      <c r="C536" s="120"/>
      <c r="D536" s="120"/>
      <c r="E536" s="162"/>
      <c r="F536" s="162"/>
      <c r="G536" s="162"/>
      <c r="H536" s="162"/>
      <c r="I536" s="162"/>
      <c r="J536" s="162"/>
      <c r="K536" s="162"/>
      <c r="L536" s="162"/>
      <c r="M536" s="162"/>
      <c r="N536" s="162"/>
      <c r="O536" s="162"/>
      <c r="P536" s="162"/>
      <c r="Q536" s="162"/>
    </row>
    <row r="537" spans="2:17" x14ac:dyDescent="0.25">
      <c r="B537" s="120"/>
      <c r="C537" s="120"/>
      <c r="D537" s="120"/>
      <c r="E537" s="162"/>
      <c r="F537" s="162"/>
      <c r="G537" s="162"/>
      <c r="H537" s="162"/>
      <c r="I537" s="162"/>
      <c r="J537" s="162"/>
      <c r="K537" s="162"/>
      <c r="L537" s="162"/>
      <c r="M537" s="162"/>
      <c r="N537" s="162"/>
      <c r="O537" s="162"/>
      <c r="P537" s="162"/>
      <c r="Q537" s="162"/>
    </row>
    <row r="538" spans="2:17" x14ac:dyDescent="0.25">
      <c r="B538" s="120"/>
      <c r="C538" s="120"/>
      <c r="D538" s="120"/>
      <c r="E538" s="162"/>
      <c r="F538" s="162"/>
      <c r="G538" s="162"/>
      <c r="H538" s="162"/>
      <c r="I538" s="162"/>
      <c r="J538" s="162"/>
      <c r="K538" s="162"/>
      <c r="L538" s="162"/>
      <c r="M538" s="162"/>
      <c r="N538" s="162"/>
      <c r="O538" s="162"/>
      <c r="P538" s="162"/>
      <c r="Q538" s="162"/>
    </row>
    <row r="539" spans="2:17" x14ac:dyDescent="0.25">
      <c r="B539" s="120"/>
      <c r="C539" s="120"/>
      <c r="D539" s="120"/>
      <c r="E539" s="162"/>
      <c r="F539" s="162"/>
      <c r="G539" s="162"/>
      <c r="H539" s="162"/>
      <c r="I539" s="162"/>
      <c r="J539" s="162"/>
      <c r="K539" s="162"/>
      <c r="L539" s="162"/>
      <c r="M539" s="162"/>
      <c r="N539" s="162"/>
      <c r="O539" s="162"/>
      <c r="P539" s="162"/>
      <c r="Q539" s="162"/>
    </row>
    <row r="540" spans="2:17" x14ac:dyDescent="0.25">
      <c r="B540" s="120"/>
      <c r="C540" s="120"/>
      <c r="D540" s="120"/>
      <c r="E540" s="162"/>
      <c r="F540" s="162"/>
      <c r="G540" s="162"/>
      <c r="H540" s="162"/>
      <c r="I540" s="162"/>
      <c r="J540" s="162"/>
      <c r="K540" s="162"/>
      <c r="L540" s="162"/>
      <c r="M540" s="162"/>
      <c r="N540" s="162"/>
      <c r="O540" s="162"/>
      <c r="P540" s="162"/>
      <c r="Q540" s="162"/>
    </row>
    <row r="541" spans="2:17" x14ac:dyDescent="0.25">
      <c r="B541" s="120"/>
      <c r="C541" s="120"/>
      <c r="D541" s="120"/>
      <c r="E541" s="162"/>
      <c r="F541" s="162"/>
      <c r="G541" s="162"/>
      <c r="H541" s="162"/>
      <c r="I541" s="162"/>
      <c r="J541" s="162"/>
      <c r="K541" s="162"/>
      <c r="L541" s="162"/>
      <c r="M541" s="162"/>
      <c r="N541" s="162"/>
      <c r="O541" s="162"/>
      <c r="P541" s="162"/>
      <c r="Q541" s="162"/>
    </row>
    <row r="542" spans="2:17" x14ac:dyDescent="0.25">
      <c r="B542" s="120"/>
      <c r="C542" s="120"/>
      <c r="D542" s="120"/>
      <c r="E542" s="162"/>
      <c r="F542" s="162"/>
      <c r="G542" s="162"/>
      <c r="H542" s="162"/>
      <c r="I542" s="162"/>
      <c r="J542" s="162"/>
      <c r="K542" s="162"/>
      <c r="L542" s="162"/>
      <c r="M542" s="162"/>
      <c r="N542" s="162"/>
      <c r="O542" s="162"/>
      <c r="P542" s="162"/>
      <c r="Q542" s="162"/>
    </row>
    <row r="543" spans="2:17" x14ac:dyDescent="0.25">
      <c r="B543" s="120"/>
      <c r="C543" s="120"/>
      <c r="D543" s="120"/>
      <c r="E543" s="162"/>
      <c r="F543" s="162"/>
      <c r="G543" s="162"/>
      <c r="H543" s="162"/>
      <c r="I543" s="162"/>
      <c r="J543" s="162"/>
      <c r="K543" s="162"/>
      <c r="L543" s="162"/>
      <c r="M543" s="162"/>
      <c r="N543" s="162"/>
      <c r="O543" s="162"/>
      <c r="P543" s="162"/>
      <c r="Q543" s="162"/>
    </row>
    <row r="544" spans="2:17" x14ac:dyDescent="0.25">
      <c r="B544" s="120"/>
      <c r="C544" s="120"/>
      <c r="D544" s="120"/>
      <c r="E544" s="162"/>
      <c r="F544" s="162"/>
      <c r="G544" s="162"/>
      <c r="H544" s="162"/>
      <c r="I544" s="162"/>
      <c r="J544" s="162"/>
      <c r="K544" s="162"/>
      <c r="L544" s="162"/>
      <c r="M544" s="162"/>
      <c r="N544" s="162"/>
      <c r="O544" s="162"/>
      <c r="P544" s="162"/>
      <c r="Q544" s="162"/>
    </row>
    <row r="545" spans="2:17" x14ac:dyDescent="0.25">
      <c r="B545" s="120"/>
      <c r="C545" s="120"/>
      <c r="D545" s="120"/>
      <c r="E545" s="162"/>
      <c r="F545" s="162"/>
      <c r="G545" s="162"/>
      <c r="H545" s="162"/>
      <c r="I545" s="162"/>
      <c r="J545" s="162"/>
      <c r="K545" s="162"/>
      <c r="L545" s="162"/>
      <c r="M545" s="162"/>
      <c r="N545" s="162"/>
      <c r="O545" s="162"/>
      <c r="P545" s="162"/>
      <c r="Q545" s="162"/>
    </row>
    <row r="546" spans="2:17" x14ac:dyDescent="0.25">
      <c r="B546" s="120"/>
      <c r="C546" s="120"/>
      <c r="D546" s="120"/>
      <c r="E546" s="162"/>
      <c r="F546" s="162"/>
      <c r="G546" s="162"/>
      <c r="H546" s="162"/>
      <c r="I546" s="162"/>
      <c r="J546" s="162"/>
      <c r="K546" s="162"/>
      <c r="L546" s="162"/>
      <c r="M546" s="162"/>
      <c r="N546" s="162"/>
      <c r="O546" s="162"/>
      <c r="P546" s="162"/>
      <c r="Q546" s="162"/>
    </row>
    <row r="547" spans="2:17" x14ac:dyDescent="0.25">
      <c r="B547" s="120"/>
      <c r="C547" s="120"/>
      <c r="D547" s="120"/>
      <c r="E547" s="162"/>
      <c r="F547" s="162"/>
      <c r="G547" s="162"/>
      <c r="H547" s="162"/>
      <c r="I547" s="162"/>
      <c r="J547" s="162"/>
      <c r="K547" s="162"/>
      <c r="L547" s="162"/>
      <c r="M547" s="162"/>
      <c r="N547" s="162"/>
      <c r="O547" s="162"/>
      <c r="P547" s="162"/>
      <c r="Q547" s="162"/>
    </row>
    <row r="548" spans="2:17" x14ac:dyDescent="0.25">
      <c r="B548" s="120"/>
      <c r="C548" s="120"/>
      <c r="D548" s="120"/>
      <c r="E548" s="162"/>
      <c r="F548" s="162"/>
      <c r="G548" s="162"/>
      <c r="H548" s="162"/>
      <c r="I548" s="162"/>
      <c r="J548" s="162"/>
      <c r="K548" s="162"/>
      <c r="L548" s="162"/>
      <c r="M548" s="162"/>
      <c r="N548" s="162"/>
      <c r="O548" s="162"/>
      <c r="P548" s="162"/>
      <c r="Q548" s="162"/>
    </row>
    <row r="549" spans="2:17" x14ac:dyDescent="0.25">
      <c r="B549" s="120"/>
      <c r="C549" s="120"/>
      <c r="D549" s="120"/>
      <c r="E549" s="162"/>
      <c r="F549" s="162"/>
      <c r="G549" s="162"/>
      <c r="H549" s="162"/>
      <c r="I549" s="162"/>
      <c r="J549" s="162"/>
      <c r="K549" s="162"/>
      <c r="L549" s="162"/>
      <c r="M549" s="162"/>
      <c r="N549" s="162"/>
      <c r="O549" s="162"/>
      <c r="P549" s="162"/>
      <c r="Q549" s="162"/>
    </row>
    <row r="550" spans="2:17" x14ac:dyDescent="0.25">
      <c r="B550" s="120"/>
      <c r="C550" s="120"/>
      <c r="D550" s="120"/>
      <c r="E550" s="162"/>
      <c r="F550" s="162"/>
      <c r="G550" s="162"/>
      <c r="H550" s="162"/>
      <c r="I550" s="162"/>
      <c r="J550" s="162"/>
      <c r="K550" s="162"/>
      <c r="L550" s="162"/>
      <c r="M550" s="162"/>
      <c r="N550" s="162"/>
      <c r="O550" s="162"/>
      <c r="P550" s="162"/>
      <c r="Q550" s="162"/>
    </row>
    <row r="551" spans="2:17" x14ac:dyDescent="0.25">
      <c r="B551" s="120"/>
      <c r="C551" s="120"/>
      <c r="D551" s="120"/>
      <c r="E551" s="162"/>
      <c r="F551" s="162"/>
      <c r="G551" s="162"/>
      <c r="H551" s="162"/>
      <c r="I551" s="162"/>
      <c r="J551" s="162"/>
      <c r="K551" s="162"/>
      <c r="L551" s="162"/>
      <c r="M551" s="162"/>
      <c r="N551" s="162"/>
      <c r="O551" s="162"/>
      <c r="P551" s="162"/>
      <c r="Q551" s="162"/>
    </row>
    <row r="552" spans="2:17" x14ac:dyDescent="0.25">
      <c r="B552" s="120"/>
      <c r="C552" s="120"/>
      <c r="D552" s="120"/>
      <c r="E552" s="162"/>
      <c r="F552" s="162"/>
      <c r="G552" s="162"/>
      <c r="H552" s="162"/>
      <c r="I552" s="162"/>
      <c r="J552" s="162"/>
      <c r="K552" s="162"/>
      <c r="L552" s="162"/>
      <c r="M552" s="162"/>
      <c r="N552" s="162"/>
      <c r="O552" s="162"/>
      <c r="P552" s="162"/>
      <c r="Q552" s="162"/>
    </row>
    <row r="553" spans="2:17" x14ac:dyDescent="0.25">
      <c r="B553" s="120"/>
      <c r="C553" s="120"/>
      <c r="D553" s="120"/>
      <c r="E553" s="162"/>
      <c r="F553" s="162"/>
      <c r="G553" s="162"/>
      <c r="H553" s="162"/>
      <c r="I553" s="162"/>
      <c r="J553" s="162"/>
      <c r="K553" s="162"/>
      <c r="L553" s="162"/>
      <c r="M553" s="162"/>
      <c r="N553" s="162"/>
      <c r="O553" s="162"/>
      <c r="P553" s="162"/>
      <c r="Q553" s="162"/>
    </row>
    <row r="554" spans="2:17" x14ac:dyDescent="0.25">
      <c r="B554" s="120"/>
      <c r="C554" s="120"/>
      <c r="D554" s="120"/>
      <c r="E554" s="162"/>
      <c r="F554" s="162"/>
      <c r="G554" s="162"/>
      <c r="H554" s="162"/>
      <c r="I554" s="162"/>
      <c r="J554" s="162"/>
      <c r="K554" s="162"/>
      <c r="L554" s="162"/>
      <c r="M554" s="162"/>
      <c r="N554" s="162"/>
      <c r="O554" s="162"/>
      <c r="P554" s="162"/>
      <c r="Q554" s="162"/>
    </row>
    <row r="555" spans="2:17" x14ac:dyDescent="0.25">
      <c r="B555" s="120"/>
      <c r="C555" s="120"/>
      <c r="D555" s="120"/>
      <c r="E555" s="162"/>
      <c r="F555" s="162"/>
      <c r="G555" s="162"/>
      <c r="H555" s="162"/>
      <c r="I555" s="162"/>
      <c r="J555" s="162"/>
      <c r="K555" s="162"/>
      <c r="L555" s="162"/>
      <c r="M555" s="162"/>
      <c r="N555" s="162"/>
      <c r="O555" s="162"/>
      <c r="P555" s="162"/>
      <c r="Q555" s="162"/>
    </row>
    <row r="556" spans="2:17" x14ac:dyDescent="0.25">
      <c r="B556" s="120"/>
      <c r="C556" s="120"/>
      <c r="D556" s="120"/>
      <c r="E556" s="162"/>
      <c r="F556" s="162"/>
      <c r="G556" s="162"/>
      <c r="H556" s="162"/>
      <c r="I556" s="162"/>
      <c r="J556" s="162"/>
      <c r="K556" s="162"/>
      <c r="L556" s="162"/>
      <c r="M556" s="162"/>
      <c r="N556" s="162"/>
      <c r="O556" s="162"/>
      <c r="P556" s="162"/>
      <c r="Q556" s="162"/>
    </row>
    <row r="557" spans="2:17" x14ac:dyDescent="0.25">
      <c r="B557" s="120"/>
      <c r="C557" s="120"/>
      <c r="D557" s="120"/>
      <c r="E557" s="162"/>
      <c r="F557" s="162"/>
      <c r="G557" s="162"/>
      <c r="H557" s="162"/>
      <c r="I557" s="162"/>
      <c r="J557" s="162"/>
      <c r="K557" s="162"/>
      <c r="L557" s="162"/>
      <c r="M557" s="162"/>
      <c r="N557" s="162"/>
      <c r="O557" s="162"/>
      <c r="P557" s="162"/>
      <c r="Q557" s="162"/>
    </row>
    <row r="558" spans="2:17" x14ac:dyDescent="0.25">
      <c r="B558" s="120"/>
      <c r="C558" s="120"/>
      <c r="D558" s="120"/>
      <c r="E558" s="162"/>
      <c r="F558" s="162"/>
      <c r="G558" s="162"/>
      <c r="H558" s="162"/>
      <c r="I558" s="162"/>
      <c r="J558" s="162"/>
      <c r="K558" s="162"/>
      <c r="L558" s="162"/>
      <c r="M558" s="162"/>
      <c r="N558" s="162"/>
      <c r="O558" s="162"/>
      <c r="P558" s="162"/>
      <c r="Q558" s="162"/>
    </row>
    <row r="559" spans="2:17" x14ac:dyDescent="0.25">
      <c r="B559" s="120"/>
      <c r="C559" s="120"/>
      <c r="D559" s="120"/>
      <c r="E559" s="162"/>
      <c r="F559" s="162"/>
      <c r="G559" s="162"/>
      <c r="H559" s="162"/>
      <c r="I559" s="162"/>
      <c r="J559" s="162"/>
      <c r="K559" s="162"/>
      <c r="L559" s="162"/>
      <c r="M559" s="162"/>
      <c r="N559" s="162"/>
      <c r="O559" s="162"/>
      <c r="P559" s="162"/>
      <c r="Q559" s="162"/>
    </row>
    <row r="560" spans="2:17" x14ac:dyDescent="0.25">
      <c r="B560" s="120"/>
      <c r="C560" s="120"/>
      <c r="D560" s="120"/>
      <c r="E560" s="162"/>
      <c r="F560" s="162"/>
      <c r="G560" s="162"/>
      <c r="H560" s="162"/>
      <c r="I560" s="162"/>
      <c r="J560" s="162"/>
      <c r="K560" s="162"/>
      <c r="L560" s="162"/>
      <c r="M560" s="162"/>
      <c r="N560" s="162"/>
      <c r="O560" s="162"/>
      <c r="P560" s="162"/>
      <c r="Q560" s="162"/>
    </row>
    <row r="561" spans="2:17" x14ac:dyDescent="0.25">
      <c r="B561" s="120"/>
      <c r="C561" s="120"/>
      <c r="D561" s="120"/>
      <c r="E561" s="162"/>
      <c r="F561" s="162"/>
      <c r="G561" s="162"/>
      <c r="H561" s="162"/>
      <c r="I561" s="162"/>
      <c r="J561" s="162"/>
      <c r="K561" s="162"/>
      <c r="L561" s="162"/>
      <c r="M561" s="162"/>
      <c r="N561" s="162"/>
      <c r="O561" s="162"/>
      <c r="P561" s="162"/>
      <c r="Q561" s="162"/>
    </row>
    <row r="562" spans="2:17" x14ac:dyDescent="0.25">
      <c r="B562" s="120"/>
      <c r="C562" s="120"/>
      <c r="D562" s="120"/>
      <c r="E562" s="162"/>
      <c r="F562" s="162"/>
      <c r="G562" s="162"/>
      <c r="H562" s="162"/>
      <c r="I562" s="162"/>
      <c r="J562" s="162"/>
      <c r="K562" s="162"/>
      <c r="L562" s="162"/>
      <c r="M562" s="162"/>
      <c r="N562" s="162"/>
      <c r="O562" s="162"/>
      <c r="P562" s="162"/>
      <c r="Q562" s="162"/>
    </row>
    <row r="563" spans="2:17" x14ac:dyDescent="0.25">
      <c r="B563" s="120"/>
      <c r="C563" s="120"/>
      <c r="D563" s="120"/>
      <c r="E563" s="162"/>
      <c r="F563" s="162"/>
      <c r="G563" s="162"/>
      <c r="H563" s="162"/>
      <c r="I563" s="162"/>
      <c r="J563" s="162"/>
      <c r="K563" s="162"/>
      <c r="L563" s="162"/>
      <c r="M563" s="162"/>
      <c r="N563" s="162"/>
      <c r="O563" s="162"/>
      <c r="P563" s="162"/>
      <c r="Q563" s="162"/>
    </row>
    <row r="564" spans="2:17" x14ac:dyDescent="0.25">
      <c r="B564" s="120"/>
      <c r="C564" s="120"/>
      <c r="D564" s="120"/>
      <c r="E564" s="162"/>
      <c r="F564" s="162"/>
      <c r="G564" s="162"/>
      <c r="H564" s="162"/>
      <c r="I564" s="162"/>
      <c r="J564" s="162"/>
      <c r="K564" s="162"/>
      <c r="L564" s="162"/>
      <c r="M564" s="162"/>
      <c r="N564" s="162"/>
      <c r="O564" s="162"/>
      <c r="P564" s="162"/>
      <c r="Q564" s="162"/>
    </row>
    <row r="565" spans="2:17" x14ac:dyDescent="0.25">
      <c r="B565" s="120"/>
      <c r="C565" s="120"/>
      <c r="D565" s="120"/>
      <c r="E565" s="162"/>
      <c r="F565" s="162"/>
      <c r="G565" s="162"/>
      <c r="H565" s="162"/>
      <c r="I565" s="162"/>
      <c r="J565" s="162"/>
      <c r="K565" s="162"/>
      <c r="L565" s="162"/>
      <c r="M565" s="162"/>
      <c r="N565" s="162"/>
      <c r="O565" s="162"/>
      <c r="P565" s="162"/>
      <c r="Q565" s="162"/>
    </row>
    <row r="566" spans="2:17" x14ac:dyDescent="0.25">
      <c r="B566" s="120"/>
      <c r="C566" s="120"/>
      <c r="D566" s="120"/>
      <c r="E566" s="162"/>
      <c r="F566" s="162"/>
      <c r="G566" s="162"/>
      <c r="H566" s="162"/>
      <c r="I566" s="162"/>
      <c r="J566" s="162"/>
      <c r="K566" s="162"/>
      <c r="L566" s="162"/>
      <c r="M566" s="162"/>
      <c r="N566" s="162"/>
      <c r="O566" s="162"/>
      <c r="P566" s="162"/>
      <c r="Q566" s="162"/>
    </row>
    <row r="567" spans="2:17" x14ac:dyDescent="0.25">
      <c r="B567" s="120"/>
      <c r="C567" s="120"/>
      <c r="D567" s="120"/>
      <c r="E567" s="162"/>
      <c r="F567" s="162"/>
      <c r="G567" s="162"/>
      <c r="H567" s="162"/>
      <c r="I567" s="162"/>
      <c r="J567" s="162"/>
      <c r="K567" s="162"/>
      <c r="L567" s="162"/>
      <c r="M567" s="162"/>
      <c r="N567" s="162"/>
      <c r="O567" s="162"/>
      <c r="P567" s="162"/>
      <c r="Q567" s="162"/>
    </row>
    <row r="568" spans="2:17" x14ac:dyDescent="0.25">
      <c r="B568" s="120"/>
      <c r="C568" s="120"/>
      <c r="D568" s="120"/>
      <c r="E568" s="162"/>
      <c r="F568" s="162"/>
      <c r="G568" s="162"/>
      <c r="H568" s="162"/>
      <c r="I568" s="162"/>
      <c r="J568" s="162"/>
      <c r="K568" s="162"/>
      <c r="L568" s="162"/>
      <c r="M568" s="162"/>
      <c r="N568" s="162"/>
      <c r="O568" s="162"/>
      <c r="P568" s="162"/>
      <c r="Q568" s="162"/>
    </row>
    <row r="569" spans="2:17" x14ac:dyDescent="0.25">
      <c r="B569" s="120"/>
      <c r="C569" s="120"/>
      <c r="D569" s="120"/>
      <c r="E569" s="162"/>
      <c r="F569" s="162"/>
      <c r="G569" s="162"/>
      <c r="H569" s="162"/>
      <c r="I569" s="162"/>
      <c r="J569" s="162"/>
      <c r="K569" s="162"/>
      <c r="L569" s="162"/>
      <c r="M569" s="162"/>
      <c r="N569" s="162"/>
      <c r="O569" s="162"/>
      <c r="P569" s="162"/>
      <c r="Q569" s="162"/>
    </row>
    <row r="570" spans="2:17" x14ac:dyDescent="0.25">
      <c r="B570" s="120"/>
      <c r="C570" s="120"/>
      <c r="D570" s="120"/>
      <c r="E570" s="162"/>
      <c r="F570" s="162"/>
      <c r="G570" s="162"/>
      <c r="H570" s="162"/>
      <c r="I570" s="162"/>
      <c r="J570" s="162"/>
      <c r="K570" s="162"/>
      <c r="L570" s="162"/>
      <c r="M570" s="162"/>
      <c r="N570" s="162"/>
      <c r="O570" s="162"/>
      <c r="P570" s="162"/>
      <c r="Q570" s="162"/>
    </row>
    <row r="571" spans="2:17" x14ac:dyDescent="0.25">
      <c r="B571" s="120"/>
      <c r="C571" s="120"/>
      <c r="D571" s="120"/>
      <c r="E571" s="162"/>
      <c r="F571" s="162"/>
      <c r="G571" s="162"/>
      <c r="H571" s="162"/>
      <c r="I571" s="162"/>
      <c r="J571" s="162"/>
      <c r="K571" s="162"/>
      <c r="L571" s="162"/>
      <c r="M571" s="162"/>
      <c r="N571" s="162"/>
      <c r="O571" s="162"/>
      <c r="P571" s="162"/>
      <c r="Q571" s="162"/>
    </row>
    <row r="572" spans="2:17" x14ac:dyDescent="0.25">
      <c r="B572" s="120"/>
      <c r="C572" s="120"/>
      <c r="D572" s="120"/>
      <c r="E572" s="162"/>
      <c r="F572" s="162"/>
      <c r="G572" s="162"/>
      <c r="H572" s="162"/>
      <c r="I572" s="162"/>
      <c r="J572" s="162"/>
      <c r="K572" s="162"/>
      <c r="L572" s="162"/>
      <c r="M572" s="162"/>
      <c r="N572" s="162"/>
      <c r="O572" s="162"/>
      <c r="P572" s="162"/>
      <c r="Q572" s="162"/>
    </row>
    <row r="573" spans="2:17" x14ac:dyDescent="0.25">
      <c r="B573" s="120"/>
      <c r="C573" s="120"/>
      <c r="D573" s="120"/>
      <c r="E573" s="162"/>
      <c r="F573" s="162"/>
      <c r="G573" s="162"/>
      <c r="H573" s="162"/>
      <c r="I573" s="162"/>
      <c r="J573" s="162"/>
      <c r="K573" s="162"/>
      <c r="L573" s="162"/>
      <c r="M573" s="162"/>
      <c r="N573" s="162"/>
      <c r="O573" s="162"/>
      <c r="P573" s="162"/>
      <c r="Q573" s="162"/>
    </row>
    <row r="574" spans="2:17" x14ac:dyDescent="0.25">
      <c r="B574" s="120"/>
      <c r="C574" s="120"/>
      <c r="D574" s="120"/>
      <c r="E574" s="162"/>
      <c r="F574" s="162"/>
      <c r="G574" s="162"/>
      <c r="H574" s="162"/>
      <c r="I574" s="162"/>
      <c r="J574" s="162"/>
      <c r="K574" s="162"/>
      <c r="L574" s="162"/>
      <c r="M574" s="162"/>
      <c r="N574" s="162"/>
      <c r="O574" s="162"/>
      <c r="P574" s="162"/>
      <c r="Q574" s="162"/>
    </row>
    <row r="575" spans="2:17" x14ac:dyDescent="0.25">
      <c r="B575" s="120"/>
      <c r="C575" s="120"/>
      <c r="D575" s="120"/>
      <c r="E575" s="162"/>
      <c r="F575" s="162"/>
      <c r="G575" s="162"/>
      <c r="H575" s="162"/>
      <c r="I575" s="162"/>
      <c r="J575" s="162"/>
      <c r="K575" s="162"/>
      <c r="L575" s="162"/>
      <c r="M575" s="162"/>
      <c r="N575" s="162"/>
      <c r="O575" s="162"/>
      <c r="P575" s="162"/>
      <c r="Q575" s="162"/>
    </row>
    <row r="576" spans="2:17" x14ac:dyDescent="0.25">
      <c r="B576" s="120"/>
      <c r="C576" s="120"/>
      <c r="D576" s="120"/>
      <c r="E576" s="162"/>
      <c r="F576" s="162"/>
      <c r="G576" s="162"/>
      <c r="H576" s="162"/>
      <c r="I576" s="162"/>
      <c r="J576" s="162"/>
      <c r="K576" s="162"/>
      <c r="L576" s="162"/>
      <c r="M576" s="162"/>
      <c r="N576" s="162"/>
      <c r="O576" s="162"/>
      <c r="P576" s="162"/>
      <c r="Q576" s="162"/>
    </row>
    <row r="577" spans="2:17" x14ac:dyDescent="0.25">
      <c r="B577" s="120"/>
      <c r="C577" s="120"/>
      <c r="D577" s="120"/>
      <c r="E577" s="162"/>
      <c r="F577" s="162"/>
      <c r="G577" s="162"/>
      <c r="H577" s="162"/>
      <c r="I577" s="162"/>
      <c r="J577" s="162"/>
      <c r="K577" s="162"/>
      <c r="L577" s="162"/>
      <c r="M577" s="162"/>
      <c r="N577" s="162"/>
      <c r="O577" s="162"/>
      <c r="P577" s="162"/>
      <c r="Q577" s="162"/>
    </row>
    <row r="578" spans="2:17" x14ac:dyDescent="0.25">
      <c r="B578" s="120"/>
      <c r="C578" s="120"/>
      <c r="D578" s="120"/>
      <c r="E578" s="162"/>
      <c r="F578" s="162"/>
      <c r="G578" s="162"/>
      <c r="H578" s="162"/>
      <c r="I578" s="162"/>
      <c r="J578" s="162"/>
      <c r="K578" s="162"/>
      <c r="L578" s="162"/>
      <c r="M578" s="162"/>
      <c r="N578" s="162"/>
      <c r="O578" s="162"/>
      <c r="P578" s="162"/>
      <c r="Q578" s="162"/>
    </row>
    <row r="579" spans="2:17" x14ac:dyDescent="0.25">
      <c r="B579" s="120"/>
      <c r="C579" s="120"/>
      <c r="D579" s="120"/>
      <c r="E579" s="162"/>
      <c r="F579" s="162"/>
      <c r="G579" s="162"/>
      <c r="H579" s="162"/>
      <c r="I579" s="162"/>
      <c r="J579" s="162"/>
      <c r="K579" s="162"/>
      <c r="L579" s="162"/>
      <c r="M579" s="162"/>
      <c r="N579" s="162"/>
      <c r="O579" s="162"/>
      <c r="P579" s="162"/>
      <c r="Q579" s="162"/>
    </row>
    <row r="580" spans="2:17" x14ac:dyDescent="0.25">
      <c r="B580" s="120"/>
      <c r="C580" s="120"/>
      <c r="D580" s="120"/>
      <c r="E580" s="162"/>
      <c r="F580" s="162"/>
      <c r="G580" s="162"/>
      <c r="H580" s="162"/>
      <c r="I580" s="162"/>
      <c r="J580" s="162"/>
      <c r="K580" s="162"/>
      <c r="L580" s="162"/>
      <c r="M580" s="162"/>
      <c r="N580" s="162"/>
      <c r="O580" s="162"/>
      <c r="P580" s="162"/>
      <c r="Q580" s="162"/>
    </row>
    <row r="581" spans="2:17" x14ac:dyDescent="0.25">
      <c r="B581" s="120"/>
      <c r="C581" s="120"/>
      <c r="D581" s="120"/>
      <c r="E581" s="162"/>
      <c r="F581" s="162"/>
      <c r="G581" s="162"/>
      <c r="H581" s="162"/>
      <c r="I581" s="162"/>
      <c r="J581" s="162"/>
      <c r="K581" s="162"/>
      <c r="L581" s="162"/>
      <c r="M581" s="162"/>
      <c r="N581" s="162"/>
      <c r="O581" s="162"/>
      <c r="P581" s="162"/>
      <c r="Q581" s="162"/>
    </row>
    <row r="582" spans="2:17" x14ac:dyDescent="0.25">
      <c r="B582" s="120"/>
      <c r="C582" s="120"/>
      <c r="D582" s="120"/>
      <c r="E582" s="162"/>
      <c r="F582" s="162"/>
      <c r="G582" s="162"/>
      <c r="H582" s="162"/>
      <c r="I582" s="162"/>
      <c r="J582" s="162"/>
      <c r="K582" s="162"/>
      <c r="L582" s="162"/>
      <c r="M582" s="162"/>
      <c r="N582" s="162"/>
      <c r="O582" s="162"/>
      <c r="P582" s="162"/>
      <c r="Q582" s="162"/>
    </row>
    <row r="583" spans="2:17" x14ac:dyDescent="0.25">
      <c r="B583" s="120"/>
      <c r="C583" s="120"/>
      <c r="D583" s="120"/>
      <c r="E583" s="162"/>
      <c r="F583" s="162"/>
      <c r="G583" s="162"/>
      <c r="H583" s="162"/>
      <c r="I583" s="162"/>
      <c r="J583" s="162"/>
      <c r="K583" s="162"/>
      <c r="L583" s="162"/>
      <c r="M583" s="162"/>
      <c r="N583" s="162"/>
      <c r="O583" s="162"/>
      <c r="P583" s="162"/>
      <c r="Q583" s="162"/>
    </row>
    <row r="584" spans="2:17" x14ac:dyDescent="0.25">
      <c r="B584" s="120"/>
      <c r="C584" s="120"/>
      <c r="D584" s="120"/>
      <c r="E584" s="162"/>
      <c r="F584" s="162"/>
      <c r="G584" s="162"/>
      <c r="H584" s="162"/>
      <c r="I584" s="162"/>
      <c r="J584" s="162"/>
      <c r="K584" s="162"/>
      <c r="L584" s="162"/>
      <c r="M584" s="162"/>
      <c r="N584" s="162"/>
      <c r="O584" s="162"/>
      <c r="P584" s="162"/>
      <c r="Q584" s="162"/>
    </row>
    <row r="585" spans="2:17" x14ac:dyDescent="0.25">
      <c r="B585" s="120"/>
      <c r="C585" s="120"/>
      <c r="D585" s="120"/>
      <c r="E585" s="162"/>
      <c r="F585" s="162"/>
      <c r="G585" s="162"/>
      <c r="H585" s="162"/>
      <c r="I585" s="162"/>
      <c r="J585" s="162"/>
      <c r="K585" s="162"/>
      <c r="L585" s="162"/>
      <c r="M585" s="162"/>
      <c r="N585" s="162"/>
      <c r="O585" s="162"/>
      <c r="P585" s="162"/>
      <c r="Q585" s="162"/>
    </row>
    <row r="586" spans="2:17" x14ac:dyDescent="0.25">
      <c r="B586" s="120"/>
      <c r="C586" s="120"/>
      <c r="D586" s="120"/>
      <c r="E586" s="162"/>
      <c r="F586" s="162"/>
      <c r="G586" s="162"/>
      <c r="H586" s="162"/>
      <c r="I586" s="162"/>
      <c r="J586" s="162"/>
      <c r="K586" s="162"/>
      <c r="L586" s="162"/>
      <c r="M586" s="162"/>
      <c r="N586" s="162"/>
      <c r="O586" s="162"/>
      <c r="P586" s="162"/>
      <c r="Q586" s="162"/>
    </row>
    <row r="587" spans="2:17" x14ac:dyDescent="0.25">
      <c r="B587" s="120"/>
      <c r="C587" s="120"/>
      <c r="D587" s="120"/>
      <c r="E587" s="162"/>
      <c r="F587" s="162"/>
      <c r="G587" s="162"/>
      <c r="H587" s="162"/>
      <c r="I587" s="162"/>
      <c r="J587" s="162"/>
      <c r="K587" s="162"/>
      <c r="L587" s="162"/>
      <c r="M587" s="162"/>
      <c r="N587" s="162"/>
      <c r="O587" s="162"/>
      <c r="P587" s="162"/>
      <c r="Q587" s="162"/>
    </row>
    <row r="588" spans="2:17" x14ac:dyDescent="0.25">
      <c r="B588" s="120"/>
      <c r="C588" s="120"/>
      <c r="D588" s="120"/>
      <c r="E588" s="162"/>
      <c r="F588" s="162"/>
      <c r="G588" s="162"/>
      <c r="H588" s="162"/>
      <c r="I588" s="162"/>
      <c r="J588" s="162"/>
      <c r="K588" s="162"/>
      <c r="L588" s="162"/>
      <c r="M588" s="162"/>
      <c r="N588" s="162"/>
      <c r="O588" s="162"/>
      <c r="P588" s="162"/>
      <c r="Q588" s="162"/>
    </row>
    <row r="589" spans="2:17" x14ac:dyDescent="0.25">
      <c r="B589" s="120"/>
      <c r="C589" s="120"/>
      <c r="D589" s="120"/>
      <c r="E589" s="162"/>
      <c r="F589" s="162"/>
      <c r="G589" s="162"/>
      <c r="H589" s="162"/>
      <c r="I589" s="162"/>
      <c r="J589" s="162"/>
      <c r="K589" s="162"/>
      <c r="L589" s="162"/>
      <c r="M589" s="162"/>
      <c r="N589" s="162"/>
      <c r="O589" s="162"/>
      <c r="P589" s="162"/>
      <c r="Q589" s="162"/>
    </row>
    <row r="590" spans="2:17" x14ac:dyDescent="0.25">
      <c r="B590" s="120"/>
      <c r="C590" s="120"/>
      <c r="D590" s="120"/>
      <c r="E590" s="162"/>
      <c r="F590" s="162"/>
      <c r="G590" s="162"/>
      <c r="H590" s="162"/>
      <c r="I590" s="162"/>
      <c r="J590" s="162"/>
      <c r="K590" s="162"/>
      <c r="L590" s="162"/>
      <c r="M590" s="162"/>
      <c r="N590" s="162"/>
      <c r="O590" s="162"/>
      <c r="P590" s="162"/>
      <c r="Q590" s="162"/>
    </row>
    <row r="591" spans="2:17" x14ac:dyDescent="0.25">
      <c r="B591" s="120"/>
      <c r="C591" s="120"/>
      <c r="D591" s="120"/>
      <c r="E591" s="162"/>
      <c r="F591" s="162"/>
      <c r="G591" s="162"/>
      <c r="H591" s="162"/>
      <c r="I591" s="162"/>
      <c r="J591" s="162"/>
      <c r="K591" s="162"/>
      <c r="L591" s="162"/>
      <c r="M591" s="162"/>
      <c r="N591" s="162"/>
      <c r="O591" s="162"/>
      <c r="P591" s="162"/>
      <c r="Q591" s="162"/>
    </row>
    <row r="592" spans="2:17" x14ac:dyDescent="0.25">
      <c r="B592" s="120"/>
      <c r="C592" s="120"/>
      <c r="D592" s="120"/>
      <c r="E592" s="162"/>
      <c r="F592" s="162"/>
      <c r="G592" s="162"/>
      <c r="H592" s="162"/>
      <c r="I592" s="162"/>
      <c r="J592" s="162"/>
      <c r="K592" s="162"/>
      <c r="L592" s="162"/>
      <c r="M592" s="162"/>
      <c r="N592" s="162"/>
      <c r="O592" s="162"/>
      <c r="P592" s="162"/>
      <c r="Q592" s="162"/>
    </row>
    <row r="593" spans="2:17" x14ac:dyDescent="0.25">
      <c r="B593" s="120"/>
      <c r="C593" s="120"/>
      <c r="D593" s="120"/>
      <c r="E593" s="162"/>
      <c r="F593" s="162"/>
      <c r="G593" s="162"/>
      <c r="H593" s="162"/>
      <c r="I593" s="162"/>
      <c r="J593" s="162"/>
      <c r="K593" s="162"/>
      <c r="L593" s="162"/>
      <c r="M593" s="162"/>
      <c r="N593" s="162"/>
      <c r="O593" s="162"/>
      <c r="P593" s="162"/>
      <c r="Q593" s="162"/>
    </row>
    <row r="594" spans="2:17" x14ac:dyDescent="0.25">
      <c r="B594" s="120"/>
      <c r="C594" s="120"/>
      <c r="D594" s="120"/>
      <c r="E594" s="162"/>
      <c r="F594" s="162"/>
      <c r="G594" s="162"/>
      <c r="H594" s="162"/>
      <c r="I594" s="162"/>
      <c r="J594" s="162"/>
      <c r="K594" s="162"/>
      <c r="L594" s="162"/>
      <c r="M594" s="162"/>
      <c r="N594" s="162"/>
      <c r="O594" s="162"/>
      <c r="P594" s="162"/>
      <c r="Q594" s="162"/>
    </row>
    <row r="595" spans="2:17" x14ac:dyDescent="0.25">
      <c r="B595" s="120"/>
      <c r="C595" s="120"/>
      <c r="D595" s="120"/>
      <c r="E595" s="162"/>
      <c r="F595" s="162"/>
      <c r="G595" s="162"/>
      <c r="H595" s="162"/>
      <c r="I595" s="162"/>
      <c r="J595" s="162"/>
      <c r="K595" s="162"/>
      <c r="L595" s="162"/>
      <c r="M595" s="162"/>
      <c r="N595" s="162"/>
      <c r="O595" s="162"/>
      <c r="P595" s="162"/>
      <c r="Q595" s="162"/>
    </row>
    <row r="596" spans="2:17" x14ac:dyDescent="0.25">
      <c r="B596" s="120"/>
      <c r="C596" s="120"/>
      <c r="D596" s="120"/>
      <c r="E596" s="162"/>
      <c r="F596" s="162"/>
      <c r="G596" s="162"/>
      <c r="H596" s="162"/>
      <c r="I596" s="162"/>
      <c r="J596" s="162"/>
      <c r="K596" s="162"/>
      <c r="L596" s="162"/>
      <c r="M596" s="162"/>
      <c r="N596" s="162"/>
      <c r="O596" s="162"/>
      <c r="P596" s="162"/>
      <c r="Q596" s="162"/>
    </row>
    <row r="597" spans="2:17" x14ac:dyDescent="0.25">
      <c r="B597" s="120"/>
      <c r="C597" s="120"/>
      <c r="D597" s="120"/>
      <c r="E597" s="162"/>
      <c r="F597" s="162"/>
      <c r="G597" s="162"/>
      <c r="H597" s="162"/>
      <c r="I597" s="162"/>
      <c r="J597" s="162"/>
      <c r="K597" s="162"/>
      <c r="L597" s="162"/>
      <c r="M597" s="162"/>
      <c r="N597" s="162"/>
      <c r="O597" s="162"/>
      <c r="P597" s="162"/>
      <c r="Q597" s="162"/>
    </row>
    <row r="598" spans="2:17" x14ac:dyDescent="0.25">
      <c r="B598" s="120"/>
      <c r="C598" s="120"/>
      <c r="D598" s="120"/>
      <c r="E598" s="162"/>
      <c r="F598" s="162"/>
      <c r="G598" s="162"/>
      <c r="H598" s="162"/>
      <c r="I598" s="162"/>
      <c r="J598" s="162"/>
      <c r="K598" s="162"/>
      <c r="L598" s="162"/>
      <c r="M598" s="162"/>
      <c r="N598" s="162"/>
      <c r="O598" s="162"/>
      <c r="P598" s="162"/>
      <c r="Q598" s="162"/>
    </row>
    <row r="599" spans="2:17" x14ac:dyDescent="0.25">
      <c r="B599" s="120"/>
      <c r="C599" s="120"/>
      <c r="D599" s="120"/>
      <c r="E599" s="162"/>
      <c r="F599" s="162"/>
      <c r="G599" s="162"/>
      <c r="H599" s="162"/>
      <c r="I599" s="162"/>
      <c r="J599" s="162"/>
      <c r="K599" s="162"/>
      <c r="L599" s="162"/>
      <c r="M599" s="162"/>
      <c r="N599" s="162"/>
      <c r="O599" s="162"/>
      <c r="P599" s="162"/>
      <c r="Q599" s="162"/>
    </row>
    <row r="600" spans="2:17" x14ac:dyDescent="0.25">
      <c r="B600" s="120"/>
      <c r="C600" s="120"/>
      <c r="D600" s="120"/>
      <c r="E600" s="162"/>
      <c r="F600" s="162"/>
      <c r="G600" s="162"/>
      <c r="H600" s="162"/>
      <c r="I600" s="162"/>
      <c r="J600" s="162"/>
      <c r="K600" s="162"/>
      <c r="L600" s="162"/>
      <c r="M600" s="162"/>
      <c r="N600" s="162"/>
      <c r="O600" s="162"/>
      <c r="P600" s="162"/>
      <c r="Q600" s="162"/>
    </row>
    <row r="601" spans="2:17" x14ac:dyDescent="0.25">
      <c r="B601" s="120"/>
      <c r="C601" s="120"/>
      <c r="D601" s="120"/>
      <c r="E601" s="162"/>
      <c r="F601" s="162"/>
      <c r="G601" s="162"/>
      <c r="H601" s="162"/>
      <c r="I601" s="162"/>
      <c r="J601" s="162"/>
      <c r="K601" s="162"/>
      <c r="L601" s="162"/>
      <c r="M601" s="162"/>
      <c r="N601" s="162"/>
      <c r="O601" s="162"/>
      <c r="P601" s="162"/>
      <c r="Q601" s="162"/>
    </row>
    <row r="602" spans="2:17" x14ac:dyDescent="0.25">
      <c r="B602" s="120"/>
      <c r="C602" s="120"/>
      <c r="D602" s="120"/>
      <c r="E602" s="162"/>
      <c r="F602" s="162"/>
      <c r="G602" s="162"/>
      <c r="H602" s="162"/>
      <c r="I602" s="162"/>
      <c r="J602" s="162"/>
      <c r="K602" s="162"/>
      <c r="L602" s="162"/>
      <c r="M602" s="162"/>
      <c r="N602" s="162"/>
      <c r="O602" s="162"/>
      <c r="P602" s="162"/>
      <c r="Q602" s="162"/>
    </row>
    <row r="603" spans="2:17" x14ac:dyDescent="0.25">
      <c r="B603" s="120"/>
      <c r="C603" s="120"/>
      <c r="D603" s="120"/>
      <c r="E603" s="162"/>
      <c r="F603" s="162"/>
      <c r="G603" s="162"/>
      <c r="H603" s="162"/>
      <c r="I603" s="162"/>
      <c r="J603" s="162"/>
      <c r="K603" s="162"/>
      <c r="L603" s="162"/>
      <c r="M603" s="162"/>
      <c r="N603" s="162"/>
      <c r="O603" s="162"/>
      <c r="P603" s="162"/>
      <c r="Q603" s="162"/>
    </row>
    <row r="604" spans="2:17" x14ac:dyDescent="0.25">
      <c r="B604" s="120"/>
      <c r="C604" s="120"/>
      <c r="D604" s="120"/>
      <c r="E604" s="162"/>
      <c r="F604" s="162"/>
      <c r="G604" s="162"/>
      <c r="H604" s="162"/>
      <c r="I604" s="162"/>
      <c r="J604" s="162"/>
      <c r="K604" s="162"/>
      <c r="L604" s="162"/>
      <c r="M604" s="162"/>
      <c r="N604" s="162"/>
      <c r="O604" s="162"/>
      <c r="P604" s="162"/>
      <c r="Q604" s="162"/>
    </row>
    <row r="605" spans="2:17" x14ac:dyDescent="0.25">
      <c r="B605" s="120"/>
      <c r="C605" s="120"/>
      <c r="D605" s="120"/>
      <c r="E605" s="162"/>
      <c r="F605" s="162"/>
      <c r="G605" s="162"/>
      <c r="H605" s="162"/>
      <c r="I605" s="162"/>
      <c r="J605" s="162"/>
      <c r="K605" s="162"/>
      <c r="L605" s="162"/>
      <c r="M605" s="162"/>
      <c r="N605" s="162"/>
      <c r="O605" s="162"/>
      <c r="P605" s="162"/>
      <c r="Q605" s="162"/>
    </row>
    <row r="606" spans="2:17" x14ac:dyDescent="0.25">
      <c r="B606" s="120"/>
      <c r="C606" s="120"/>
      <c r="D606" s="120"/>
      <c r="E606" s="162"/>
      <c r="F606" s="162"/>
      <c r="G606" s="162"/>
      <c r="H606" s="162"/>
      <c r="I606" s="162"/>
      <c r="J606" s="162"/>
      <c r="K606" s="162"/>
      <c r="L606" s="162"/>
      <c r="M606" s="162"/>
      <c r="N606" s="162"/>
      <c r="O606" s="162"/>
      <c r="P606" s="162"/>
      <c r="Q606" s="162"/>
    </row>
    <row r="607" spans="2:17" x14ac:dyDescent="0.25">
      <c r="B607" s="120"/>
      <c r="C607" s="120"/>
      <c r="D607" s="120"/>
      <c r="E607" s="162"/>
      <c r="F607" s="162"/>
      <c r="G607" s="162"/>
      <c r="H607" s="162"/>
      <c r="I607" s="162"/>
      <c r="J607" s="162"/>
      <c r="K607" s="162"/>
      <c r="L607" s="162"/>
      <c r="M607" s="162"/>
      <c r="N607" s="162"/>
      <c r="O607" s="162"/>
      <c r="P607" s="162"/>
      <c r="Q607" s="162"/>
    </row>
    <row r="608" spans="2:17" x14ac:dyDescent="0.25">
      <c r="B608" s="120"/>
      <c r="C608" s="120"/>
      <c r="D608" s="120"/>
      <c r="E608" s="162"/>
      <c r="F608" s="162"/>
      <c r="G608" s="162"/>
      <c r="H608" s="162"/>
      <c r="I608" s="162"/>
      <c r="J608" s="162"/>
      <c r="K608" s="162"/>
      <c r="L608" s="162"/>
      <c r="M608" s="162"/>
      <c r="N608" s="162"/>
      <c r="O608" s="162"/>
      <c r="P608" s="162"/>
      <c r="Q608" s="162"/>
    </row>
    <row r="609" spans="2:17" x14ac:dyDescent="0.25">
      <c r="B609" s="120"/>
      <c r="C609" s="120"/>
      <c r="D609" s="120"/>
      <c r="E609" s="162"/>
      <c r="F609" s="162"/>
      <c r="G609" s="162"/>
      <c r="H609" s="162"/>
      <c r="I609" s="162"/>
      <c r="J609" s="162"/>
      <c r="K609" s="162"/>
      <c r="L609" s="162"/>
      <c r="M609" s="162"/>
      <c r="N609" s="162"/>
      <c r="O609" s="162"/>
      <c r="P609" s="162"/>
      <c r="Q609" s="162"/>
    </row>
    <row r="610" spans="2:17" x14ac:dyDescent="0.25">
      <c r="B610" s="120"/>
      <c r="C610" s="120"/>
      <c r="D610" s="120"/>
      <c r="E610" s="162"/>
      <c r="F610" s="162"/>
      <c r="G610" s="162"/>
      <c r="H610" s="162"/>
      <c r="I610" s="162"/>
      <c r="J610" s="162"/>
      <c r="K610" s="162"/>
      <c r="L610" s="162"/>
      <c r="M610" s="162"/>
      <c r="N610" s="162"/>
      <c r="O610" s="162"/>
      <c r="P610" s="162"/>
      <c r="Q610" s="162"/>
    </row>
    <row r="611" spans="2:17" x14ac:dyDescent="0.25">
      <c r="B611" s="120"/>
      <c r="C611" s="120"/>
      <c r="D611" s="120"/>
      <c r="E611" s="162"/>
      <c r="F611" s="162"/>
      <c r="G611" s="162"/>
      <c r="H611" s="162"/>
      <c r="I611" s="162"/>
      <c r="J611" s="162"/>
      <c r="K611" s="162"/>
      <c r="L611" s="162"/>
      <c r="M611" s="162"/>
      <c r="N611" s="162"/>
      <c r="O611" s="162"/>
      <c r="P611" s="162"/>
      <c r="Q611" s="162"/>
    </row>
    <row r="612" spans="2:17" x14ac:dyDescent="0.25">
      <c r="B612" s="120"/>
      <c r="C612" s="120"/>
      <c r="D612" s="120"/>
      <c r="E612" s="162"/>
      <c r="F612" s="162"/>
      <c r="G612" s="162"/>
      <c r="H612" s="162"/>
      <c r="I612" s="162"/>
      <c r="J612" s="162"/>
      <c r="K612" s="162"/>
      <c r="L612" s="162"/>
      <c r="M612" s="162"/>
      <c r="N612" s="162"/>
      <c r="O612" s="162"/>
      <c r="P612" s="162"/>
      <c r="Q612" s="162"/>
    </row>
    <row r="613" spans="2:17" x14ac:dyDescent="0.25">
      <c r="B613" s="120"/>
      <c r="C613" s="120"/>
      <c r="D613" s="120"/>
      <c r="E613" s="162"/>
      <c r="F613" s="162"/>
      <c r="G613" s="162"/>
      <c r="H613" s="162"/>
      <c r="I613" s="162"/>
      <c r="J613" s="162"/>
      <c r="K613" s="162"/>
      <c r="L613" s="162"/>
      <c r="M613" s="162"/>
      <c r="N613" s="162"/>
      <c r="O613" s="162"/>
      <c r="P613" s="162"/>
      <c r="Q613" s="162"/>
    </row>
    <row r="614" spans="2:17" x14ac:dyDescent="0.25">
      <c r="B614" s="120"/>
      <c r="C614" s="120"/>
      <c r="D614" s="120"/>
      <c r="E614" s="162"/>
      <c r="F614" s="162"/>
      <c r="G614" s="162"/>
      <c r="H614" s="162"/>
      <c r="I614" s="162"/>
      <c r="J614" s="162"/>
      <c r="K614" s="162"/>
      <c r="L614" s="162"/>
      <c r="M614" s="162"/>
      <c r="N614" s="162"/>
      <c r="O614" s="162"/>
      <c r="P614" s="162"/>
      <c r="Q614" s="162"/>
    </row>
    <row r="615" spans="2:17" x14ac:dyDescent="0.25">
      <c r="B615" s="120"/>
      <c r="C615" s="120"/>
      <c r="D615" s="120"/>
      <c r="E615" s="162"/>
      <c r="F615" s="162"/>
      <c r="G615" s="162"/>
      <c r="H615" s="162"/>
      <c r="I615" s="162"/>
      <c r="J615" s="162"/>
      <c r="K615" s="162"/>
      <c r="L615" s="162"/>
      <c r="M615" s="162"/>
      <c r="N615" s="162"/>
      <c r="O615" s="162"/>
      <c r="P615" s="162"/>
      <c r="Q615" s="162"/>
    </row>
    <row r="616" spans="2:17" x14ac:dyDescent="0.25">
      <c r="B616" s="120"/>
      <c r="C616" s="120"/>
      <c r="D616" s="120"/>
      <c r="E616" s="162"/>
      <c r="F616" s="162"/>
      <c r="G616" s="162"/>
      <c r="H616" s="162"/>
      <c r="I616" s="162"/>
      <c r="J616" s="162"/>
      <c r="K616" s="162"/>
      <c r="L616" s="162"/>
      <c r="M616" s="162"/>
      <c r="N616" s="162"/>
      <c r="O616" s="162"/>
      <c r="P616" s="162"/>
      <c r="Q616" s="162"/>
    </row>
    <row r="617" spans="2:17" x14ac:dyDescent="0.25">
      <c r="B617" s="120"/>
      <c r="C617" s="120"/>
      <c r="D617" s="120"/>
      <c r="E617" s="162"/>
      <c r="F617" s="162"/>
      <c r="G617" s="162"/>
      <c r="H617" s="162"/>
      <c r="I617" s="162"/>
      <c r="J617" s="162"/>
      <c r="K617" s="162"/>
      <c r="L617" s="162"/>
      <c r="M617" s="162"/>
      <c r="N617" s="162"/>
      <c r="O617" s="162"/>
      <c r="P617" s="162"/>
      <c r="Q617" s="162"/>
    </row>
    <row r="618" spans="2:17" x14ac:dyDescent="0.25">
      <c r="B618" s="120"/>
      <c r="C618" s="120"/>
      <c r="D618" s="120"/>
      <c r="E618" s="162"/>
      <c r="F618" s="162"/>
      <c r="G618" s="162"/>
      <c r="H618" s="162"/>
      <c r="I618" s="162"/>
      <c r="J618" s="162"/>
      <c r="K618" s="162"/>
      <c r="L618" s="162"/>
      <c r="M618" s="162"/>
      <c r="N618" s="162"/>
      <c r="O618" s="162"/>
      <c r="P618" s="162"/>
      <c r="Q618" s="162"/>
    </row>
    <row r="619" spans="2:17" x14ac:dyDescent="0.25">
      <c r="B619" s="120"/>
      <c r="C619" s="120"/>
      <c r="D619" s="120"/>
      <c r="E619" s="162"/>
      <c r="F619" s="162"/>
      <c r="G619" s="162"/>
      <c r="H619" s="162"/>
      <c r="I619" s="162"/>
      <c r="J619" s="162"/>
      <c r="K619" s="162"/>
      <c r="L619" s="162"/>
      <c r="M619" s="162"/>
      <c r="N619" s="162"/>
      <c r="O619" s="162"/>
      <c r="P619" s="162"/>
      <c r="Q619" s="162"/>
    </row>
    <row r="620" spans="2:17" x14ac:dyDescent="0.25">
      <c r="B620" s="120"/>
      <c r="C620" s="120"/>
      <c r="D620" s="120"/>
      <c r="E620" s="162"/>
      <c r="F620" s="162"/>
      <c r="G620" s="162"/>
      <c r="H620" s="162"/>
      <c r="I620" s="162"/>
      <c r="J620" s="162"/>
      <c r="K620" s="162"/>
      <c r="L620" s="162"/>
      <c r="M620" s="162"/>
      <c r="N620" s="162"/>
      <c r="O620" s="162"/>
      <c r="P620" s="162"/>
      <c r="Q620" s="162"/>
    </row>
    <row r="621" spans="2:17" x14ac:dyDescent="0.25">
      <c r="B621" s="120"/>
      <c r="C621" s="120"/>
      <c r="D621" s="120"/>
      <c r="E621" s="162"/>
      <c r="F621" s="162"/>
      <c r="G621" s="162"/>
      <c r="H621" s="162"/>
      <c r="I621" s="162"/>
      <c r="J621" s="162"/>
      <c r="K621" s="162"/>
      <c r="L621" s="162"/>
      <c r="M621" s="162"/>
      <c r="N621" s="162"/>
      <c r="O621" s="162"/>
      <c r="P621" s="162"/>
      <c r="Q621" s="162"/>
    </row>
    <row r="622" spans="2:17" x14ac:dyDescent="0.25">
      <c r="B622" s="120"/>
      <c r="C622" s="120"/>
      <c r="D622" s="120"/>
      <c r="E622" s="162"/>
      <c r="F622" s="162"/>
      <c r="G622" s="162"/>
      <c r="H622" s="162"/>
      <c r="I622" s="162"/>
      <c r="J622" s="162"/>
      <c r="K622" s="162"/>
      <c r="L622" s="162"/>
      <c r="M622" s="162"/>
      <c r="N622" s="162"/>
      <c r="O622" s="162"/>
      <c r="P622" s="162"/>
      <c r="Q622" s="162"/>
    </row>
    <row r="623" spans="2:17" x14ac:dyDescent="0.25">
      <c r="B623" s="120"/>
      <c r="C623" s="120"/>
      <c r="D623" s="120"/>
      <c r="E623" s="162"/>
      <c r="F623" s="162"/>
      <c r="G623" s="162"/>
      <c r="H623" s="162"/>
      <c r="I623" s="162"/>
      <c r="J623" s="162"/>
      <c r="K623" s="162"/>
      <c r="L623" s="162"/>
      <c r="M623" s="162"/>
      <c r="N623" s="162"/>
      <c r="O623" s="162"/>
      <c r="P623" s="162"/>
      <c r="Q623" s="162"/>
    </row>
    <row r="624" spans="2:17" x14ac:dyDescent="0.25">
      <c r="B624" s="120"/>
      <c r="C624" s="120"/>
      <c r="D624" s="120"/>
      <c r="E624" s="162"/>
      <c r="F624" s="162"/>
      <c r="G624" s="162"/>
      <c r="H624" s="162"/>
      <c r="I624" s="162"/>
      <c r="J624" s="162"/>
      <c r="K624" s="162"/>
      <c r="L624" s="162"/>
      <c r="M624" s="162"/>
      <c r="N624" s="162"/>
      <c r="O624" s="162"/>
      <c r="P624" s="162"/>
      <c r="Q624" s="162"/>
    </row>
    <row r="625" spans="2:17" x14ac:dyDescent="0.25">
      <c r="B625" s="120"/>
      <c r="C625" s="120"/>
      <c r="D625" s="120"/>
      <c r="E625" s="162"/>
      <c r="F625" s="162"/>
      <c r="G625" s="162"/>
      <c r="H625" s="162"/>
      <c r="I625" s="162"/>
      <c r="J625" s="162"/>
      <c r="K625" s="162"/>
      <c r="L625" s="162"/>
      <c r="M625" s="162"/>
      <c r="N625" s="162"/>
      <c r="O625" s="162"/>
      <c r="P625" s="162"/>
      <c r="Q625" s="162"/>
    </row>
    <row r="626" spans="2:17" x14ac:dyDescent="0.25">
      <c r="B626" s="120"/>
      <c r="C626" s="120"/>
      <c r="D626" s="120"/>
      <c r="E626" s="162"/>
      <c r="F626" s="162"/>
      <c r="G626" s="162"/>
      <c r="H626" s="162"/>
      <c r="I626" s="162"/>
      <c r="J626" s="162"/>
      <c r="K626" s="162"/>
      <c r="L626" s="162"/>
      <c r="M626" s="162"/>
      <c r="N626" s="162"/>
      <c r="O626" s="162"/>
      <c r="P626" s="162"/>
      <c r="Q626" s="162"/>
    </row>
    <row r="627" spans="2:17" x14ac:dyDescent="0.25">
      <c r="B627" s="120"/>
      <c r="C627" s="120"/>
      <c r="D627" s="120"/>
      <c r="E627" s="162"/>
      <c r="F627" s="162"/>
      <c r="G627" s="162"/>
      <c r="H627" s="162"/>
      <c r="I627" s="162"/>
      <c r="J627" s="162"/>
      <c r="K627" s="162"/>
      <c r="L627" s="162"/>
      <c r="M627" s="162"/>
      <c r="N627" s="162"/>
      <c r="O627" s="162"/>
      <c r="P627" s="162"/>
      <c r="Q627" s="162"/>
    </row>
    <row r="628" spans="2:17" x14ac:dyDescent="0.25">
      <c r="B628" s="120"/>
      <c r="C628" s="120"/>
      <c r="D628" s="120"/>
      <c r="E628" s="162"/>
      <c r="F628" s="162"/>
      <c r="G628" s="162"/>
      <c r="H628" s="162"/>
      <c r="I628" s="162"/>
      <c r="J628" s="162"/>
      <c r="K628" s="162"/>
      <c r="L628" s="162"/>
      <c r="M628" s="162"/>
      <c r="N628" s="162"/>
      <c r="O628" s="162"/>
      <c r="P628" s="162"/>
      <c r="Q628" s="162"/>
    </row>
    <row r="629" spans="2:17" x14ac:dyDescent="0.25">
      <c r="B629" s="120"/>
      <c r="C629" s="120"/>
      <c r="D629" s="120"/>
      <c r="E629" s="162"/>
      <c r="F629" s="162"/>
      <c r="G629" s="162"/>
      <c r="H629" s="162"/>
      <c r="I629" s="162"/>
      <c r="J629" s="162"/>
      <c r="K629" s="162"/>
      <c r="L629" s="162"/>
      <c r="M629" s="162"/>
      <c r="N629" s="162"/>
      <c r="O629" s="162"/>
      <c r="P629" s="162"/>
      <c r="Q629" s="162"/>
    </row>
    <row r="630" spans="2:17" x14ac:dyDescent="0.25">
      <c r="B630" s="120"/>
      <c r="C630" s="120"/>
      <c r="D630" s="120"/>
      <c r="E630" s="162"/>
      <c r="F630" s="162"/>
      <c r="G630" s="162"/>
      <c r="H630" s="162"/>
      <c r="I630" s="162"/>
      <c r="J630" s="162"/>
      <c r="K630" s="162"/>
      <c r="L630" s="162"/>
      <c r="M630" s="162"/>
      <c r="N630" s="162"/>
      <c r="O630" s="162"/>
      <c r="P630" s="162"/>
      <c r="Q630" s="162"/>
    </row>
    <row r="631" spans="2:17" x14ac:dyDescent="0.25">
      <c r="B631" s="120"/>
      <c r="C631" s="120"/>
      <c r="D631" s="120"/>
      <c r="E631" s="162"/>
      <c r="F631" s="162"/>
      <c r="G631" s="162"/>
      <c r="H631" s="162"/>
      <c r="I631" s="162"/>
      <c r="J631" s="162"/>
      <c r="K631" s="162"/>
      <c r="L631" s="162"/>
      <c r="M631" s="162"/>
      <c r="N631" s="162"/>
      <c r="O631" s="162"/>
      <c r="P631" s="162"/>
      <c r="Q631" s="162"/>
    </row>
    <row r="632" spans="2:17" x14ac:dyDescent="0.25">
      <c r="B632" s="120"/>
      <c r="C632" s="120"/>
      <c r="D632" s="120"/>
      <c r="E632" s="162"/>
      <c r="F632" s="162"/>
      <c r="G632" s="162"/>
      <c r="H632" s="162"/>
      <c r="I632" s="162"/>
      <c r="J632" s="162"/>
      <c r="K632" s="162"/>
      <c r="L632" s="162"/>
      <c r="M632" s="162"/>
      <c r="N632" s="162"/>
      <c r="O632" s="162"/>
      <c r="P632" s="162"/>
      <c r="Q632" s="162"/>
    </row>
    <row r="633" spans="2:17" x14ac:dyDescent="0.25">
      <c r="B633" s="120"/>
      <c r="C633" s="120"/>
      <c r="D633" s="120"/>
      <c r="E633" s="162"/>
      <c r="F633" s="162"/>
      <c r="G633" s="162"/>
      <c r="H633" s="162"/>
      <c r="I633" s="162"/>
      <c r="J633" s="162"/>
      <c r="K633" s="162"/>
      <c r="L633" s="162"/>
      <c r="M633" s="162"/>
      <c r="N633" s="162"/>
      <c r="O633" s="162"/>
      <c r="P633" s="162"/>
      <c r="Q633" s="162"/>
    </row>
    <row r="634" spans="2:17" x14ac:dyDescent="0.25">
      <c r="B634" s="120"/>
      <c r="C634" s="120"/>
      <c r="D634" s="120"/>
      <c r="E634" s="162"/>
      <c r="F634" s="162"/>
      <c r="G634" s="162"/>
      <c r="H634" s="162"/>
      <c r="I634" s="162"/>
      <c r="J634" s="162"/>
      <c r="K634" s="162"/>
      <c r="L634" s="162"/>
      <c r="M634" s="162"/>
      <c r="N634" s="162"/>
      <c r="O634" s="162"/>
      <c r="P634" s="162"/>
      <c r="Q634" s="162"/>
    </row>
    <row r="635" spans="2:17" x14ac:dyDescent="0.25">
      <c r="B635" s="120"/>
      <c r="C635" s="120"/>
      <c r="D635" s="120"/>
      <c r="E635" s="162"/>
      <c r="F635" s="162"/>
      <c r="G635" s="162"/>
      <c r="H635" s="162"/>
      <c r="I635" s="162"/>
      <c r="J635" s="162"/>
      <c r="K635" s="162"/>
      <c r="L635" s="162"/>
      <c r="M635" s="162"/>
      <c r="N635" s="162"/>
      <c r="O635" s="162"/>
      <c r="P635" s="162"/>
      <c r="Q635" s="162"/>
    </row>
    <row r="636" spans="2:17" x14ac:dyDescent="0.25">
      <c r="B636" s="120"/>
      <c r="C636" s="120"/>
      <c r="D636" s="120"/>
      <c r="E636" s="162"/>
      <c r="F636" s="162"/>
      <c r="G636" s="162"/>
      <c r="H636" s="162"/>
      <c r="I636" s="162"/>
      <c r="J636" s="162"/>
      <c r="K636" s="162"/>
      <c r="L636" s="162"/>
      <c r="M636" s="162"/>
      <c r="N636" s="162"/>
      <c r="O636" s="162"/>
      <c r="P636" s="162"/>
      <c r="Q636" s="162"/>
    </row>
    <row r="637" spans="2:17" x14ac:dyDescent="0.25">
      <c r="B637" s="120"/>
      <c r="C637" s="120"/>
      <c r="D637" s="120"/>
      <c r="E637" s="162"/>
      <c r="F637" s="162"/>
      <c r="G637" s="162"/>
      <c r="H637" s="162"/>
      <c r="I637" s="162"/>
      <c r="J637" s="162"/>
      <c r="K637" s="162"/>
      <c r="L637" s="162"/>
      <c r="M637" s="162"/>
      <c r="N637" s="162"/>
      <c r="O637" s="162"/>
      <c r="P637" s="162"/>
      <c r="Q637" s="162"/>
    </row>
    <row r="638" spans="2:17" x14ac:dyDescent="0.25">
      <c r="B638" s="120"/>
      <c r="C638" s="120"/>
      <c r="D638" s="120"/>
      <c r="E638" s="162"/>
      <c r="F638" s="162"/>
      <c r="G638" s="162"/>
      <c r="H638" s="162"/>
      <c r="I638" s="162"/>
      <c r="J638" s="162"/>
      <c r="K638" s="162"/>
      <c r="L638" s="162"/>
      <c r="M638" s="162"/>
      <c r="N638" s="162"/>
      <c r="O638" s="162"/>
      <c r="P638" s="162"/>
      <c r="Q638" s="162"/>
    </row>
    <row r="639" spans="2:17" x14ac:dyDescent="0.25">
      <c r="B639" s="120"/>
      <c r="C639" s="120"/>
      <c r="D639" s="120"/>
      <c r="E639" s="162"/>
      <c r="F639" s="162"/>
      <c r="G639" s="162"/>
      <c r="H639" s="162"/>
      <c r="I639" s="162"/>
      <c r="J639" s="162"/>
      <c r="K639" s="162"/>
      <c r="L639" s="162"/>
      <c r="M639" s="162"/>
      <c r="N639" s="162"/>
      <c r="O639" s="162"/>
      <c r="P639" s="162"/>
      <c r="Q639" s="162"/>
    </row>
    <row r="640" spans="2:17" x14ac:dyDescent="0.25">
      <c r="B640" s="120"/>
      <c r="C640" s="120"/>
      <c r="D640" s="120"/>
      <c r="E640" s="162"/>
      <c r="F640" s="162"/>
      <c r="G640" s="162"/>
      <c r="H640" s="162"/>
      <c r="I640" s="162"/>
      <c r="J640" s="162"/>
      <c r="K640" s="162"/>
      <c r="L640" s="162"/>
      <c r="M640" s="162"/>
      <c r="N640" s="162"/>
      <c r="O640" s="162"/>
      <c r="P640" s="162"/>
      <c r="Q640" s="162"/>
    </row>
    <row r="641" spans="2:17" x14ac:dyDescent="0.25">
      <c r="B641" s="120"/>
      <c r="C641" s="120"/>
      <c r="D641" s="120"/>
      <c r="E641" s="162"/>
      <c r="F641" s="162"/>
      <c r="G641" s="162"/>
      <c r="H641" s="162"/>
      <c r="I641" s="162"/>
      <c r="J641" s="162"/>
      <c r="K641" s="162"/>
      <c r="L641" s="162"/>
      <c r="M641" s="162"/>
      <c r="N641" s="162"/>
      <c r="O641" s="162"/>
      <c r="P641" s="162"/>
      <c r="Q641" s="162"/>
    </row>
    <row r="642" spans="2:17" x14ac:dyDescent="0.25">
      <c r="B642" s="120"/>
      <c r="C642" s="120"/>
      <c r="D642" s="120"/>
      <c r="E642" s="162"/>
      <c r="F642" s="162"/>
      <c r="G642" s="162"/>
      <c r="H642" s="162"/>
      <c r="I642" s="162"/>
      <c r="J642" s="162"/>
      <c r="K642" s="162"/>
      <c r="L642" s="162"/>
      <c r="M642" s="162"/>
      <c r="N642" s="162"/>
      <c r="O642" s="162"/>
      <c r="P642" s="162"/>
      <c r="Q642" s="162"/>
    </row>
    <row r="643" spans="2:17" x14ac:dyDescent="0.25">
      <c r="B643" s="120"/>
      <c r="C643" s="120"/>
      <c r="D643" s="120"/>
      <c r="E643" s="162"/>
      <c r="F643" s="162"/>
      <c r="G643" s="162"/>
      <c r="H643" s="162"/>
      <c r="I643" s="162"/>
      <c r="J643" s="162"/>
      <c r="K643" s="162"/>
      <c r="L643" s="162"/>
      <c r="M643" s="162"/>
      <c r="N643" s="162"/>
      <c r="O643" s="162"/>
      <c r="P643" s="162"/>
      <c r="Q643" s="162"/>
    </row>
    <row r="644" spans="2:17" x14ac:dyDescent="0.25">
      <c r="B644" s="120"/>
      <c r="C644" s="120"/>
      <c r="D644" s="120"/>
      <c r="E644" s="162"/>
      <c r="F644" s="162"/>
      <c r="G644" s="162"/>
      <c r="H644" s="162"/>
      <c r="I644" s="162"/>
      <c r="J644" s="162"/>
      <c r="K644" s="162"/>
      <c r="L644" s="162"/>
      <c r="M644" s="162"/>
      <c r="N644" s="162"/>
      <c r="O644" s="162"/>
      <c r="P644" s="162"/>
      <c r="Q644" s="162"/>
    </row>
    <row r="645" spans="2:17" x14ac:dyDescent="0.25">
      <c r="B645" s="120"/>
      <c r="C645" s="120"/>
      <c r="D645" s="120"/>
      <c r="E645" s="162"/>
      <c r="F645" s="162"/>
      <c r="G645" s="162"/>
      <c r="H645" s="162"/>
      <c r="I645" s="162"/>
      <c r="J645" s="162"/>
      <c r="K645" s="162"/>
      <c r="L645" s="162"/>
      <c r="M645" s="162"/>
      <c r="N645" s="162"/>
      <c r="O645" s="162"/>
      <c r="P645" s="162"/>
      <c r="Q645" s="162"/>
    </row>
    <row r="646" spans="2:17" x14ac:dyDescent="0.25">
      <c r="B646" s="120"/>
      <c r="C646" s="120"/>
      <c r="D646" s="120"/>
      <c r="E646" s="162"/>
      <c r="F646" s="162"/>
      <c r="G646" s="162"/>
      <c r="H646" s="162"/>
      <c r="I646" s="162"/>
      <c r="J646" s="162"/>
      <c r="K646" s="162"/>
      <c r="L646" s="162"/>
      <c r="M646" s="162"/>
      <c r="N646" s="162"/>
      <c r="O646" s="162"/>
      <c r="P646" s="162"/>
      <c r="Q646" s="162"/>
    </row>
    <row r="647" spans="2:17" x14ac:dyDescent="0.25">
      <c r="B647" s="120"/>
      <c r="C647" s="120"/>
      <c r="D647" s="120"/>
      <c r="E647" s="162"/>
      <c r="F647" s="162"/>
      <c r="G647" s="162"/>
      <c r="H647" s="162"/>
      <c r="I647" s="162"/>
      <c r="J647" s="162"/>
      <c r="K647" s="162"/>
      <c r="L647" s="162"/>
      <c r="M647" s="162"/>
      <c r="N647" s="162"/>
      <c r="O647" s="162"/>
      <c r="P647" s="162"/>
      <c r="Q647" s="162"/>
    </row>
    <row r="648" spans="2:17" x14ac:dyDescent="0.25">
      <c r="B648" s="120"/>
      <c r="C648" s="120"/>
      <c r="D648" s="120"/>
      <c r="E648" s="162"/>
      <c r="F648" s="162"/>
      <c r="G648" s="162"/>
      <c r="H648" s="162"/>
      <c r="I648" s="162"/>
      <c r="J648" s="162"/>
      <c r="K648" s="162"/>
      <c r="L648" s="162"/>
      <c r="M648" s="162"/>
      <c r="N648" s="162"/>
      <c r="O648" s="162"/>
      <c r="P648" s="162"/>
      <c r="Q648" s="162"/>
    </row>
    <row r="649" spans="2:17" x14ac:dyDescent="0.25">
      <c r="B649" s="120"/>
      <c r="C649" s="120"/>
      <c r="D649" s="120"/>
      <c r="E649" s="162"/>
      <c r="F649" s="162"/>
      <c r="G649" s="162"/>
      <c r="H649" s="162"/>
      <c r="I649" s="162"/>
      <c r="J649" s="162"/>
      <c r="K649" s="162"/>
      <c r="L649" s="162"/>
      <c r="M649" s="162"/>
      <c r="N649" s="162"/>
      <c r="O649" s="162"/>
      <c r="P649" s="162"/>
      <c r="Q649" s="162"/>
    </row>
    <row r="650" spans="2:17" x14ac:dyDescent="0.25">
      <c r="B650" s="120"/>
      <c r="C650" s="120"/>
      <c r="D650" s="120"/>
      <c r="E650" s="162"/>
      <c r="F650" s="162"/>
      <c r="G650" s="162"/>
      <c r="H650" s="162"/>
      <c r="I650" s="162"/>
      <c r="J650" s="162"/>
      <c r="K650" s="162"/>
      <c r="L650" s="162"/>
      <c r="M650" s="162"/>
      <c r="N650" s="162"/>
      <c r="O650" s="162"/>
      <c r="P650" s="162"/>
      <c r="Q650" s="162"/>
    </row>
    <row r="651" spans="2:17" x14ac:dyDescent="0.25">
      <c r="B651" s="120"/>
      <c r="C651" s="120"/>
      <c r="D651" s="120"/>
      <c r="E651" s="162"/>
      <c r="F651" s="162"/>
      <c r="G651" s="162"/>
      <c r="H651" s="162"/>
      <c r="I651" s="162"/>
      <c r="J651" s="162"/>
      <c r="K651" s="162"/>
      <c r="L651" s="162"/>
      <c r="M651" s="162"/>
      <c r="N651" s="162"/>
      <c r="O651" s="162"/>
      <c r="P651" s="162"/>
      <c r="Q651" s="162"/>
    </row>
    <row r="652" spans="2:17" x14ac:dyDescent="0.25">
      <c r="B652" s="120"/>
      <c r="C652" s="120"/>
      <c r="D652" s="120"/>
      <c r="E652" s="162"/>
      <c r="F652" s="162"/>
      <c r="G652" s="162"/>
      <c r="H652" s="162"/>
      <c r="I652" s="162"/>
      <c r="J652" s="162"/>
      <c r="K652" s="162"/>
      <c r="L652" s="162"/>
      <c r="M652" s="162"/>
      <c r="N652" s="162"/>
      <c r="O652" s="162"/>
      <c r="P652" s="162"/>
      <c r="Q652" s="162"/>
    </row>
    <row r="653" spans="2:17" x14ac:dyDescent="0.25">
      <c r="B653" s="120"/>
      <c r="C653" s="120"/>
      <c r="D653" s="120"/>
      <c r="E653" s="162"/>
      <c r="F653" s="162"/>
      <c r="G653" s="162"/>
      <c r="H653" s="162"/>
      <c r="I653" s="162"/>
      <c r="J653" s="162"/>
      <c r="K653" s="162"/>
      <c r="L653" s="162"/>
      <c r="M653" s="162"/>
      <c r="N653" s="162"/>
      <c r="O653" s="162"/>
      <c r="P653" s="162"/>
      <c r="Q653" s="162"/>
    </row>
    <row r="654" spans="2:17" x14ac:dyDescent="0.25">
      <c r="B654" s="120"/>
      <c r="C654" s="120"/>
      <c r="D654" s="120"/>
      <c r="E654" s="162"/>
      <c r="F654" s="162"/>
      <c r="G654" s="162"/>
      <c r="H654" s="162"/>
      <c r="I654" s="162"/>
      <c r="J654" s="162"/>
      <c r="K654" s="162"/>
      <c r="L654" s="162"/>
      <c r="M654" s="162"/>
      <c r="N654" s="162"/>
      <c r="O654" s="162"/>
      <c r="P654" s="162"/>
      <c r="Q654" s="162"/>
    </row>
    <row r="655" spans="2:17" x14ac:dyDescent="0.25">
      <c r="B655" s="120"/>
      <c r="C655" s="120"/>
      <c r="D655" s="120"/>
      <c r="E655" s="162"/>
      <c r="F655" s="162"/>
      <c r="G655" s="162"/>
      <c r="H655" s="162"/>
      <c r="I655" s="162"/>
      <c r="J655" s="162"/>
      <c r="K655" s="162"/>
      <c r="L655" s="162"/>
      <c r="M655" s="162"/>
      <c r="N655" s="162"/>
      <c r="O655" s="162"/>
      <c r="P655" s="162"/>
      <c r="Q655" s="162"/>
    </row>
    <row r="656" spans="2:17" x14ac:dyDescent="0.25">
      <c r="B656" s="120"/>
      <c r="C656" s="120"/>
      <c r="D656" s="120"/>
      <c r="E656" s="162"/>
      <c r="F656" s="162"/>
      <c r="G656" s="162"/>
      <c r="H656" s="162"/>
      <c r="I656" s="162"/>
      <c r="J656" s="162"/>
      <c r="K656" s="162"/>
      <c r="L656" s="162"/>
      <c r="M656" s="162"/>
      <c r="N656" s="162"/>
      <c r="O656" s="162"/>
      <c r="P656" s="162"/>
      <c r="Q656" s="162"/>
    </row>
    <row r="657" spans="2:17" x14ac:dyDescent="0.25">
      <c r="B657" s="120"/>
      <c r="C657" s="120"/>
      <c r="D657" s="120"/>
      <c r="E657" s="162"/>
      <c r="F657" s="162"/>
      <c r="G657" s="162"/>
      <c r="H657" s="162"/>
      <c r="I657" s="162"/>
      <c r="J657" s="162"/>
      <c r="K657" s="162"/>
      <c r="L657" s="162"/>
      <c r="M657" s="162"/>
      <c r="N657" s="162"/>
      <c r="O657" s="162"/>
      <c r="P657" s="162"/>
      <c r="Q657" s="162"/>
    </row>
    <row r="658" spans="2:17" x14ac:dyDescent="0.25">
      <c r="B658" s="120"/>
      <c r="C658" s="120"/>
      <c r="D658" s="120"/>
      <c r="E658" s="162"/>
      <c r="F658" s="162"/>
      <c r="G658" s="162"/>
      <c r="H658" s="162"/>
      <c r="I658" s="162"/>
      <c r="J658" s="162"/>
      <c r="K658" s="162"/>
      <c r="L658" s="162"/>
      <c r="M658" s="162"/>
      <c r="N658" s="162"/>
      <c r="O658" s="162"/>
      <c r="P658" s="162"/>
      <c r="Q658" s="162"/>
    </row>
    <row r="659" spans="2:17" x14ac:dyDescent="0.25">
      <c r="B659" s="120"/>
      <c r="C659" s="120"/>
      <c r="D659" s="120"/>
      <c r="E659" s="162"/>
      <c r="F659" s="162"/>
      <c r="G659" s="162"/>
      <c r="H659" s="162"/>
      <c r="I659" s="162"/>
      <c r="J659" s="162"/>
      <c r="K659" s="162"/>
      <c r="L659" s="162"/>
      <c r="M659" s="162"/>
      <c r="N659" s="162"/>
      <c r="O659" s="162"/>
      <c r="P659" s="162"/>
      <c r="Q659" s="162"/>
    </row>
    <row r="660" spans="2:17" x14ac:dyDescent="0.25">
      <c r="B660" s="120"/>
      <c r="C660" s="120"/>
      <c r="D660" s="120"/>
      <c r="E660" s="162"/>
      <c r="F660" s="162"/>
      <c r="G660" s="162"/>
      <c r="H660" s="162"/>
      <c r="I660" s="162"/>
      <c r="J660" s="162"/>
      <c r="K660" s="162"/>
      <c r="L660" s="162"/>
      <c r="M660" s="162"/>
      <c r="N660" s="162"/>
      <c r="O660" s="162"/>
      <c r="P660" s="162"/>
      <c r="Q660" s="162"/>
    </row>
    <row r="661" spans="2:17" x14ac:dyDescent="0.25">
      <c r="B661" s="120"/>
      <c r="C661" s="120"/>
      <c r="D661" s="120"/>
      <c r="E661" s="162"/>
      <c r="F661" s="162"/>
      <c r="G661" s="162"/>
      <c r="H661" s="162"/>
      <c r="I661" s="162"/>
      <c r="J661" s="162"/>
      <c r="K661" s="162"/>
      <c r="L661" s="162"/>
      <c r="M661" s="162"/>
      <c r="N661" s="162"/>
      <c r="O661" s="162"/>
      <c r="P661" s="162"/>
      <c r="Q661" s="162"/>
    </row>
    <row r="662" spans="2:17" x14ac:dyDescent="0.25">
      <c r="B662" s="120"/>
      <c r="C662" s="120"/>
      <c r="D662" s="120"/>
      <c r="E662" s="162"/>
      <c r="F662" s="162"/>
      <c r="G662" s="162"/>
      <c r="H662" s="162"/>
      <c r="I662" s="162"/>
      <c r="J662" s="162"/>
      <c r="K662" s="162"/>
      <c r="L662" s="162"/>
      <c r="M662" s="162"/>
      <c r="N662" s="162"/>
      <c r="O662" s="162"/>
      <c r="P662" s="162"/>
      <c r="Q662" s="162"/>
    </row>
    <row r="663" spans="2:17" x14ac:dyDescent="0.25">
      <c r="B663" s="120"/>
      <c r="C663" s="120"/>
      <c r="D663" s="120"/>
      <c r="E663" s="162"/>
      <c r="F663" s="162"/>
      <c r="G663" s="162"/>
      <c r="H663" s="162"/>
      <c r="I663" s="162"/>
      <c r="J663" s="162"/>
      <c r="K663" s="162"/>
      <c r="L663" s="162"/>
      <c r="M663" s="162"/>
      <c r="N663" s="162"/>
      <c r="O663" s="162"/>
      <c r="P663" s="162"/>
      <c r="Q663" s="162"/>
    </row>
    <row r="664" spans="2:17" x14ac:dyDescent="0.25">
      <c r="B664" s="120"/>
      <c r="C664" s="120"/>
      <c r="D664" s="120"/>
      <c r="E664" s="162"/>
      <c r="F664" s="162"/>
      <c r="G664" s="162"/>
      <c r="H664" s="162"/>
      <c r="I664" s="162"/>
      <c r="J664" s="162"/>
      <c r="K664" s="162"/>
      <c r="L664" s="162"/>
      <c r="M664" s="162"/>
      <c r="N664" s="162"/>
      <c r="O664" s="162"/>
      <c r="P664" s="162"/>
      <c r="Q664" s="162"/>
    </row>
    <row r="665" spans="2:17" x14ac:dyDescent="0.25">
      <c r="B665" s="120"/>
      <c r="C665" s="120"/>
      <c r="D665" s="120"/>
      <c r="E665" s="162"/>
      <c r="F665" s="162"/>
      <c r="G665" s="162"/>
      <c r="H665" s="162"/>
      <c r="I665" s="162"/>
      <c r="J665" s="162"/>
      <c r="K665" s="162"/>
      <c r="L665" s="162"/>
      <c r="M665" s="162"/>
      <c r="N665" s="162"/>
      <c r="O665" s="162"/>
      <c r="P665" s="162"/>
      <c r="Q665" s="162"/>
    </row>
    <row r="666" spans="2:17" x14ac:dyDescent="0.25">
      <c r="B666" s="120"/>
      <c r="C666" s="120"/>
      <c r="D666" s="120"/>
      <c r="E666" s="162"/>
      <c r="F666" s="162"/>
      <c r="G666" s="162"/>
      <c r="H666" s="162"/>
      <c r="I666" s="162"/>
      <c r="J666" s="162"/>
      <c r="K666" s="162"/>
      <c r="L666" s="162"/>
      <c r="M666" s="162"/>
      <c r="N666" s="162"/>
      <c r="O666" s="162"/>
      <c r="P666" s="162"/>
      <c r="Q666" s="162"/>
    </row>
    <row r="667" spans="2:17" x14ac:dyDescent="0.25">
      <c r="B667" s="120"/>
      <c r="C667" s="120"/>
      <c r="D667" s="120"/>
      <c r="E667" s="162"/>
      <c r="F667" s="162"/>
      <c r="G667" s="162"/>
      <c r="H667" s="162"/>
      <c r="I667" s="162"/>
      <c r="J667" s="162"/>
      <c r="K667" s="162"/>
      <c r="L667" s="162"/>
      <c r="M667" s="162"/>
      <c r="N667" s="162"/>
      <c r="O667" s="162"/>
      <c r="P667" s="162"/>
      <c r="Q667" s="162"/>
    </row>
    <row r="668" spans="2:17" x14ac:dyDescent="0.25">
      <c r="B668" s="120"/>
      <c r="C668" s="120"/>
      <c r="D668" s="120"/>
      <c r="E668" s="162"/>
      <c r="F668" s="162"/>
      <c r="G668" s="162"/>
      <c r="H668" s="162"/>
      <c r="I668" s="162"/>
      <c r="J668" s="162"/>
      <c r="K668" s="162"/>
      <c r="L668" s="162"/>
      <c r="M668" s="162"/>
      <c r="N668" s="162"/>
      <c r="O668" s="162"/>
      <c r="P668" s="162"/>
      <c r="Q668" s="162"/>
    </row>
    <row r="669" spans="2:17" x14ac:dyDescent="0.25">
      <c r="B669" s="120"/>
      <c r="C669" s="120"/>
      <c r="D669" s="120"/>
      <c r="E669" s="162"/>
      <c r="F669" s="162"/>
      <c r="G669" s="162"/>
      <c r="H669" s="162"/>
      <c r="I669" s="162"/>
      <c r="J669" s="162"/>
      <c r="K669" s="162"/>
      <c r="L669" s="162"/>
      <c r="M669" s="162"/>
      <c r="N669" s="162"/>
      <c r="O669" s="162"/>
      <c r="P669" s="162"/>
      <c r="Q669" s="162"/>
    </row>
    <row r="670" spans="2:17" x14ac:dyDescent="0.25">
      <c r="B670" s="120"/>
      <c r="C670" s="120"/>
      <c r="D670" s="120"/>
      <c r="E670" s="162"/>
      <c r="F670" s="162"/>
      <c r="G670" s="162"/>
      <c r="H670" s="162"/>
      <c r="I670" s="162"/>
      <c r="J670" s="162"/>
      <c r="K670" s="162"/>
      <c r="L670" s="162"/>
      <c r="M670" s="162"/>
      <c r="N670" s="162"/>
      <c r="O670" s="162"/>
      <c r="P670" s="162"/>
      <c r="Q670" s="162"/>
    </row>
    <row r="671" spans="2:17" x14ac:dyDescent="0.25">
      <c r="B671" s="120"/>
      <c r="C671" s="120"/>
      <c r="D671" s="120"/>
      <c r="E671" s="162"/>
      <c r="F671" s="162"/>
      <c r="G671" s="162"/>
      <c r="H671" s="162"/>
      <c r="I671" s="162"/>
      <c r="J671" s="162"/>
      <c r="K671" s="162"/>
      <c r="L671" s="162"/>
      <c r="M671" s="162"/>
      <c r="N671" s="162"/>
      <c r="O671" s="162"/>
      <c r="P671" s="162"/>
      <c r="Q671" s="162"/>
    </row>
    <row r="672" spans="2:17" x14ac:dyDescent="0.25">
      <c r="B672" s="120"/>
      <c r="C672" s="120"/>
      <c r="D672" s="120"/>
      <c r="E672" s="162"/>
      <c r="F672" s="162"/>
      <c r="G672" s="162"/>
      <c r="H672" s="162"/>
      <c r="I672" s="162"/>
      <c r="J672" s="162"/>
      <c r="K672" s="162"/>
      <c r="L672" s="162"/>
      <c r="M672" s="162"/>
      <c r="N672" s="162"/>
      <c r="O672" s="162"/>
      <c r="P672" s="162"/>
      <c r="Q672" s="162"/>
    </row>
    <row r="673" spans="2:17" x14ac:dyDescent="0.25">
      <c r="B673" s="120"/>
      <c r="C673" s="120"/>
      <c r="D673" s="120"/>
      <c r="E673" s="162"/>
      <c r="F673" s="162"/>
      <c r="G673" s="162"/>
      <c r="H673" s="162"/>
      <c r="I673" s="162"/>
      <c r="J673" s="162"/>
      <c r="K673" s="162"/>
      <c r="L673" s="162"/>
      <c r="M673" s="162"/>
      <c r="N673" s="162"/>
      <c r="O673" s="162"/>
      <c r="P673" s="162"/>
      <c r="Q673" s="162"/>
    </row>
    <row r="674" spans="2:17" x14ac:dyDescent="0.25">
      <c r="B674" s="120"/>
      <c r="C674" s="120"/>
      <c r="D674" s="120"/>
      <c r="E674" s="162"/>
      <c r="F674" s="162"/>
      <c r="G674" s="162"/>
      <c r="H674" s="162"/>
      <c r="I674" s="162"/>
      <c r="J674" s="162"/>
      <c r="K674" s="162"/>
      <c r="L674" s="162"/>
      <c r="M674" s="162"/>
      <c r="N674" s="162"/>
      <c r="O674" s="162"/>
      <c r="P674" s="162"/>
      <c r="Q674" s="162"/>
    </row>
    <row r="675" spans="2:17" x14ac:dyDescent="0.25">
      <c r="B675" s="120"/>
      <c r="C675" s="120"/>
      <c r="D675" s="120"/>
      <c r="E675" s="162"/>
      <c r="F675" s="162"/>
      <c r="G675" s="162"/>
      <c r="H675" s="162"/>
      <c r="I675" s="162"/>
      <c r="J675" s="162"/>
      <c r="K675" s="162"/>
      <c r="L675" s="162"/>
      <c r="M675" s="162"/>
      <c r="N675" s="162"/>
      <c r="O675" s="162"/>
      <c r="P675" s="162"/>
      <c r="Q675" s="162"/>
    </row>
    <row r="676" spans="2:17" x14ac:dyDescent="0.25">
      <c r="B676" s="120"/>
      <c r="C676" s="120"/>
      <c r="D676" s="120"/>
      <c r="E676" s="162"/>
      <c r="F676" s="162"/>
      <c r="G676" s="162"/>
      <c r="H676" s="162"/>
      <c r="I676" s="162"/>
      <c r="J676" s="162"/>
      <c r="K676" s="162"/>
      <c r="L676" s="162"/>
      <c r="M676" s="162"/>
      <c r="N676" s="162"/>
      <c r="O676" s="162"/>
      <c r="P676" s="162"/>
      <c r="Q676" s="162"/>
    </row>
    <row r="677" spans="2:17" x14ac:dyDescent="0.25">
      <c r="B677" s="120"/>
      <c r="C677" s="120"/>
      <c r="D677" s="120"/>
      <c r="E677" s="162"/>
      <c r="F677" s="162"/>
      <c r="G677" s="162"/>
      <c r="H677" s="162"/>
      <c r="I677" s="162"/>
      <c r="J677" s="162"/>
      <c r="K677" s="162"/>
      <c r="L677" s="162"/>
      <c r="M677" s="162"/>
      <c r="N677" s="162"/>
      <c r="O677" s="162"/>
      <c r="P677" s="162"/>
      <c r="Q677" s="162"/>
    </row>
    <row r="678" spans="2:17" x14ac:dyDescent="0.25">
      <c r="B678" s="120"/>
      <c r="C678" s="120"/>
      <c r="D678" s="120"/>
      <c r="E678" s="162"/>
      <c r="F678" s="162"/>
      <c r="G678" s="162"/>
      <c r="H678" s="162"/>
      <c r="I678" s="162"/>
      <c r="J678" s="162"/>
      <c r="K678" s="162"/>
      <c r="L678" s="162"/>
      <c r="M678" s="162"/>
      <c r="N678" s="162"/>
      <c r="O678" s="162"/>
      <c r="P678" s="162"/>
      <c r="Q678" s="162"/>
    </row>
    <row r="679" spans="2:17" x14ac:dyDescent="0.25">
      <c r="B679" s="120"/>
      <c r="C679" s="120"/>
      <c r="D679" s="120"/>
      <c r="E679" s="162"/>
      <c r="F679" s="162"/>
      <c r="G679" s="162"/>
      <c r="H679" s="162"/>
      <c r="I679" s="162"/>
      <c r="J679" s="162"/>
      <c r="K679" s="162"/>
      <c r="L679" s="162"/>
      <c r="M679" s="162"/>
      <c r="N679" s="162"/>
      <c r="O679" s="162"/>
      <c r="P679" s="162"/>
      <c r="Q679" s="162"/>
    </row>
    <row r="680" spans="2:17" x14ac:dyDescent="0.25">
      <c r="B680" s="120"/>
      <c r="C680" s="120"/>
      <c r="D680" s="120"/>
      <c r="E680" s="162"/>
      <c r="F680" s="162"/>
      <c r="G680" s="162"/>
      <c r="H680" s="162"/>
      <c r="I680" s="162"/>
      <c r="J680" s="162"/>
      <c r="K680" s="162"/>
      <c r="L680" s="162"/>
      <c r="M680" s="162"/>
      <c r="N680" s="162"/>
      <c r="O680" s="162"/>
      <c r="P680" s="162"/>
      <c r="Q680" s="162"/>
    </row>
    <row r="681" spans="2:17" x14ac:dyDescent="0.25">
      <c r="B681" s="120"/>
      <c r="C681" s="120"/>
      <c r="D681" s="120"/>
      <c r="E681" s="162"/>
      <c r="F681" s="162"/>
      <c r="G681" s="162"/>
      <c r="H681" s="162"/>
      <c r="I681" s="162"/>
      <c r="J681" s="162"/>
      <c r="K681" s="162"/>
      <c r="L681" s="162"/>
      <c r="M681" s="162"/>
      <c r="N681" s="162"/>
      <c r="O681" s="162"/>
      <c r="P681" s="162"/>
      <c r="Q681" s="162"/>
    </row>
    <row r="682" spans="2:17" x14ac:dyDescent="0.25">
      <c r="B682" s="120"/>
      <c r="C682" s="120"/>
      <c r="D682" s="120"/>
      <c r="E682" s="162"/>
      <c r="F682" s="162"/>
      <c r="G682" s="162"/>
      <c r="H682" s="162"/>
      <c r="I682" s="162"/>
      <c r="J682" s="162"/>
      <c r="K682" s="162"/>
      <c r="L682" s="162"/>
      <c r="M682" s="162"/>
      <c r="N682" s="162"/>
      <c r="O682" s="162"/>
      <c r="P682" s="162"/>
      <c r="Q682" s="162"/>
    </row>
    <row r="683" spans="2:17" x14ac:dyDescent="0.25">
      <c r="B683" s="120"/>
      <c r="C683" s="120"/>
      <c r="D683" s="120"/>
      <c r="E683" s="162"/>
      <c r="F683" s="162"/>
      <c r="G683" s="162"/>
      <c r="H683" s="162"/>
      <c r="I683" s="162"/>
      <c r="J683" s="162"/>
      <c r="K683" s="162"/>
      <c r="L683" s="162"/>
      <c r="M683" s="162"/>
      <c r="N683" s="162"/>
      <c r="O683" s="162"/>
      <c r="P683" s="162"/>
      <c r="Q683" s="162"/>
    </row>
    <row r="684" spans="2:17" x14ac:dyDescent="0.25">
      <c r="B684" s="120"/>
      <c r="C684" s="120"/>
      <c r="D684" s="120"/>
      <c r="E684" s="162"/>
      <c r="F684" s="162"/>
      <c r="G684" s="162"/>
      <c r="H684" s="162"/>
      <c r="I684" s="162"/>
      <c r="J684" s="162"/>
      <c r="K684" s="162"/>
      <c r="L684" s="162"/>
      <c r="M684" s="162"/>
      <c r="N684" s="162"/>
      <c r="O684" s="162"/>
      <c r="P684" s="162"/>
      <c r="Q684" s="162"/>
    </row>
    <row r="685" spans="2:17" x14ac:dyDescent="0.25">
      <c r="B685" s="120"/>
      <c r="C685" s="120"/>
      <c r="D685" s="120"/>
      <c r="E685" s="162"/>
      <c r="F685" s="162"/>
      <c r="G685" s="162"/>
      <c r="H685" s="162"/>
      <c r="I685" s="162"/>
      <c r="J685" s="162"/>
      <c r="K685" s="162"/>
      <c r="L685" s="162"/>
      <c r="M685" s="162"/>
      <c r="N685" s="162"/>
      <c r="O685" s="162"/>
      <c r="P685" s="162"/>
      <c r="Q685" s="162"/>
    </row>
    <row r="686" spans="2:17" x14ac:dyDescent="0.25">
      <c r="B686" s="120"/>
      <c r="C686" s="120"/>
      <c r="D686" s="120"/>
      <c r="E686" s="162"/>
      <c r="F686" s="162"/>
      <c r="G686" s="162"/>
      <c r="H686" s="162"/>
      <c r="I686" s="162"/>
      <c r="J686" s="162"/>
      <c r="K686" s="162"/>
      <c r="L686" s="162"/>
      <c r="M686" s="162"/>
      <c r="N686" s="162"/>
      <c r="O686" s="162"/>
      <c r="P686" s="162"/>
      <c r="Q686" s="162"/>
    </row>
    <row r="687" spans="2:17" x14ac:dyDescent="0.25">
      <c r="B687" s="120"/>
      <c r="C687" s="120"/>
      <c r="D687" s="120"/>
      <c r="E687" s="162"/>
      <c r="F687" s="162"/>
      <c r="G687" s="162"/>
      <c r="H687" s="162"/>
      <c r="I687" s="162"/>
      <c r="J687" s="162"/>
      <c r="K687" s="162"/>
      <c r="L687" s="162"/>
      <c r="M687" s="162"/>
      <c r="N687" s="162"/>
      <c r="O687" s="162"/>
      <c r="P687" s="162"/>
      <c r="Q687" s="162"/>
    </row>
    <row r="688" spans="2:17" x14ac:dyDescent="0.25">
      <c r="B688" s="120"/>
      <c r="C688" s="120"/>
      <c r="D688" s="120"/>
      <c r="E688" s="162"/>
      <c r="F688" s="162"/>
      <c r="G688" s="162"/>
      <c r="H688" s="162"/>
      <c r="I688" s="162"/>
      <c r="J688" s="162"/>
      <c r="K688" s="162"/>
      <c r="L688" s="162"/>
      <c r="M688" s="162"/>
      <c r="N688" s="162"/>
      <c r="O688" s="162"/>
      <c r="P688" s="162"/>
      <c r="Q688" s="162"/>
    </row>
    <row r="689" spans="2:17" x14ac:dyDescent="0.25">
      <c r="B689" s="120"/>
      <c r="C689" s="120"/>
      <c r="D689" s="120"/>
      <c r="E689" s="162"/>
      <c r="F689" s="162"/>
      <c r="G689" s="162"/>
      <c r="H689" s="162"/>
      <c r="I689" s="162"/>
      <c r="J689" s="162"/>
      <c r="K689" s="162"/>
      <c r="L689" s="162"/>
      <c r="M689" s="162"/>
      <c r="N689" s="162"/>
      <c r="O689" s="162"/>
      <c r="P689" s="162"/>
      <c r="Q689" s="162"/>
    </row>
    <row r="690" spans="2:17" x14ac:dyDescent="0.25">
      <c r="B690" s="120"/>
      <c r="C690" s="120"/>
      <c r="D690" s="120"/>
      <c r="E690" s="162"/>
      <c r="F690" s="162"/>
      <c r="G690" s="162"/>
      <c r="H690" s="162"/>
      <c r="I690" s="162"/>
      <c r="J690" s="162"/>
      <c r="K690" s="162"/>
      <c r="L690" s="162"/>
      <c r="M690" s="162"/>
      <c r="N690" s="162"/>
      <c r="O690" s="162"/>
      <c r="P690" s="162"/>
      <c r="Q690" s="162"/>
    </row>
    <row r="691" spans="2:17" x14ac:dyDescent="0.25">
      <c r="B691" s="120"/>
      <c r="C691" s="120"/>
      <c r="D691" s="120"/>
      <c r="E691" s="162"/>
      <c r="F691" s="162"/>
      <c r="G691" s="162"/>
      <c r="H691" s="162"/>
      <c r="I691" s="162"/>
      <c r="J691" s="162"/>
      <c r="K691" s="162"/>
      <c r="L691" s="162"/>
      <c r="M691" s="162"/>
      <c r="N691" s="162"/>
      <c r="O691" s="162"/>
      <c r="P691" s="162"/>
      <c r="Q691" s="162"/>
    </row>
    <row r="692" spans="2:17" x14ac:dyDescent="0.25">
      <c r="B692" s="120"/>
      <c r="C692" s="120"/>
      <c r="D692" s="120"/>
      <c r="E692" s="162"/>
      <c r="F692" s="162"/>
      <c r="G692" s="162"/>
      <c r="H692" s="162"/>
      <c r="I692" s="162"/>
      <c r="J692" s="162"/>
      <c r="K692" s="162"/>
      <c r="L692" s="162"/>
      <c r="M692" s="162"/>
      <c r="N692" s="162"/>
      <c r="O692" s="162"/>
      <c r="P692" s="162"/>
      <c r="Q692" s="162"/>
    </row>
    <row r="693" spans="2:17" x14ac:dyDescent="0.25">
      <c r="B693" s="120"/>
      <c r="C693" s="120"/>
      <c r="D693" s="120"/>
      <c r="E693" s="162"/>
      <c r="F693" s="162"/>
      <c r="G693" s="162"/>
      <c r="H693" s="162"/>
      <c r="I693" s="162"/>
      <c r="J693" s="162"/>
      <c r="K693" s="162"/>
      <c r="L693" s="162"/>
      <c r="M693" s="162"/>
      <c r="N693" s="162"/>
      <c r="O693" s="162"/>
      <c r="P693" s="162"/>
      <c r="Q693" s="162"/>
    </row>
    <row r="694" spans="2:17" x14ac:dyDescent="0.25">
      <c r="B694" s="120"/>
      <c r="C694" s="120"/>
      <c r="D694" s="120"/>
      <c r="E694" s="162"/>
      <c r="F694" s="162"/>
      <c r="G694" s="162"/>
      <c r="H694" s="162"/>
      <c r="I694" s="162"/>
      <c r="J694" s="162"/>
      <c r="K694" s="162"/>
      <c r="L694" s="162"/>
      <c r="M694" s="162"/>
      <c r="N694" s="162"/>
      <c r="O694" s="162"/>
      <c r="P694" s="162"/>
      <c r="Q694" s="162"/>
    </row>
    <row r="695" spans="2:17" x14ac:dyDescent="0.25">
      <c r="B695" s="120"/>
      <c r="C695" s="120"/>
      <c r="D695" s="120"/>
      <c r="E695" s="162"/>
      <c r="F695" s="162"/>
      <c r="G695" s="162"/>
      <c r="H695" s="162"/>
      <c r="I695" s="162"/>
      <c r="J695" s="162"/>
      <c r="K695" s="162"/>
      <c r="L695" s="162"/>
      <c r="M695" s="162"/>
      <c r="N695" s="162"/>
      <c r="O695" s="162"/>
      <c r="P695" s="162"/>
      <c r="Q695" s="162"/>
    </row>
    <row r="696" spans="2:17" x14ac:dyDescent="0.25">
      <c r="B696" s="120"/>
      <c r="C696" s="120"/>
      <c r="D696" s="120"/>
      <c r="E696" s="162"/>
      <c r="F696" s="162"/>
      <c r="G696" s="162"/>
      <c r="H696" s="162"/>
      <c r="I696" s="162"/>
      <c r="J696" s="162"/>
      <c r="K696" s="162"/>
      <c r="L696" s="162"/>
      <c r="M696" s="162"/>
      <c r="N696" s="162"/>
      <c r="O696" s="162"/>
      <c r="P696" s="162"/>
      <c r="Q696" s="162"/>
    </row>
    <row r="697" spans="2:17" x14ac:dyDescent="0.25">
      <c r="B697" s="120"/>
      <c r="C697" s="120"/>
      <c r="D697" s="120"/>
      <c r="E697" s="162"/>
      <c r="F697" s="162"/>
      <c r="G697" s="162"/>
      <c r="H697" s="162"/>
      <c r="I697" s="162"/>
      <c r="J697" s="162"/>
      <c r="K697" s="162"/>
      <c r="L697" s="162"/>
      <c r="M697" s="162"/>
      <c r="N697" s="162"/>
      <c r="O697" s="162"/>
      <c r="P697" s="162"/>
      <c r="Q697" s="162"/>
    </row>
    <row r="698" spans="2:17" x14ac:dyDescent="0.25">
      <c r="B698" s="120"/>
      <c r="C698" s="120"/>
      <c r="D698" s="120"/>
      <c r="E698" s="162"/>
      <c r="F698" s="162"/>
      <c r="G698" s="162"/>
      <c r="H698" s="162"/>
      <c r="I698" s="162"/>
      <c r="J698" s="162"/>
      <c r="K698" s="162"/>
      <c r="L698" s="162"/>
      <c r="M698" s="162"/>
      <c r="N698" s="162"/>
      <c r="O698" s="162"/>
      <c r="P698" s="162"/>
      <c r="Q698" s="162"/>
    </row>
    <row r="699" spans="2:17" x14ac:dyDescent="0.25">
      <c r="B699" s="120"/>
      <c r="C699" s="120"/>
      <c r="D699" s="120"/>
      <c r="E699" s="162"/>
      <c r="F699" s="162"/>
      <c r="G699" s="162"/>
      <c r="H699" s="162"/>
      <c r="I699" s="162"/>
      <c r="J699" s="162"/>
      <c r="K699" s="162"/>
      <c r="L699" s="162"/>
      <c r="M699" s="162"/>
      <c r="N699" s="162"/>
      <c r="O699" s="162"/>
      <c r="P699" s="162"/>
      <c r="Q699" s="162"/>
    </row>
    <row r="700" spans="2:17" x14ac:dyDescent="0.25">
      <c r="B700" s="120"/>
      <c r="C700" s="120"/>
      <c r="D700" s="120"/>
      <c r="E700" s="162"/>
      <c r="F700" s="162"/>
      <c r="G700" s="162"/>
      <c r="H700" s="162"/>
      <c r="I700" s="162"/>
      <c r="J700" s="162"/>
      <c r="K700" s="162"/>
      <c r="L700" s="162"/>
      <c r="M700" s="162"/>
      <c r="N700" s="162"/>
      <c r="O700" s="162"/>
      <c r="P700" s="162"/>
      <c r="Q700" s="162"/>
    </row>
    <row r="701" spans="2:17" x14ac:dyDescent="0.25">
      <c r="B701" s="120"/>
      <c r="C701" s="120"/>
      <c r="D701" s="120"/>
      <c r="E701" s="162"/>
      <c r="F701" s="162"/>
      <c r="G701" s="162"/>
      <c r="H701" s="162"/>
      <c r="I701" s="162"/>
      <c r="J701" s="162"/>
      <c r="K701" s="162"/>
      <c r="L701" s="162"/>
      <c r="M701" s="162"/>
      <c r="N701" s="162"/>
      <c r="O701" s="162"/>
      <c r="P701" s="162"/>
      <c r="Q701" s="162"/>
    </row>
    <row r="702" spans="2:17" x14ac:dyDescent="0.25">
      <c r="B702" s="120"/>
      <c r="C702" s="120"/>
      <c r="D702" s="120"/>
      <c r="E702" s="162"/>
      <c r="F702" s="162"/>
      <c r="G702" s="162"/>
      <c r="H702" s="162"/>
      <c r="I702" s="162"/>
      <c r="J702" s="162"/>
      <c r="K702" s="162"/>
      <c r="L702" s="162"/>
      <c r="M702" s="162"/>
      <c r="N702" s="162"/>
      <c r="O702" s="162"/>
      <c r="P702" s="162"/>
      <c r="Q702" s="162"/>
    </row>
    <row r="703" spans="2:17" x14ac:dyDescent="0.25">
      <c r="B703" s="120"/>
      <c r="C703" s="120"/>
      <c r="D703" s="120"/>
      <c r="E703" s="162"/>
      <c r="F703" s="162"/>
      <c r="G703" s="162"/>
      <c r="H703" s="162"/>
      <c r="I703" s="162"/>
      <c r="J703" s="162"/>
      <c r="K703" s="162"/>
      <c r="L703" s="162"/>
      <c r="M703" s="162"/>
      <c r="N703" s="162"/>
      <c r="O703" s="162"/>
      <c r="P703" s="162"/>
      <c r="Q703" s="162"/>
    </row>
    <row r="704" spans="2:17" x14ac:dyDescent="0.25">
      <c r="B704" s="120"/>
      <c r="C704" s="120"/>
      <c r="D704" s="120"/>
      <c r="E704" s="162"/>
      <c r="F704" s="162"/>
      <c r="G704" s="162"/>
      <c r="H704" s="162"/>
      <c r="I704" s="162"/>
      <c r="J704" s="162"/>
      <c r="K704" s="162"/>
      <c r="L704" s="162"/>
      <c r="M704" s="162"/>
      <c r="N704" s="162"/>
      <c r="O704" s="162"/>
      <c r="P704" s="162"/>
      <c r="Q704" s="162"/>
    </row>
    <row r="705" spans="2:17" x14ac:dyDescent="0.25">
      <c r="B705" s="120"/>
      <c r="C705" s="120"/>
      <c r="D705" s="120"/>
      <c r="E705" s="162"/>
      <c r="F705" s="162"/>
      <c r="G705" s="162"/>
      <c r="H705" s="162"/>
      <c r="I705" s="162"/>
      <c r="J705" s="162"/>
      <c r="K705" s="162"/>
      <c r="L705" s="162"/>
      <c r="M705" s="162"/>
      <c r="N705" s="162"/>
      <c r="O705" s="162"/>
      <c r="P705" s="162"/>
      <c r="Q705" s="162"/>
    </row>
    <row r="706" spans="2:17" x14ac:dyDescent="0.25">
      <c r="B706" s="120"/>
      <c r="C706" s="120"/>
      <c r="D706" s="120"/>
      <c r="E706" s="162"/>
      <c r="F706" s="162"/>
      <c r="G706" s="162"/>
      <c r="H706" s="162"/>
      <c r="I706" s="162"/>
      <c r="J706" s="162"/>
      <c r="K706" s="162"/>
      <c r="L706" s="162"/>
      <c r="M706" s="162"/>
      <c r="N706" s="162"/>
      <c r="O706" s="162"/>
      <c r="P706" s="162"/>
      <c r="Q706" s="162"/>
    </row>
    <row r="707" spans="2:17" x14ac:dyDescent="0.25">
      <c r="B707" s="120"/>
      <c r="C707" s="120"/>
      <c r="D707" s="120"/>
      <c r="E707" s="162"/>
      <c r="F707" s="162"/>
      <c r="G707" s="162"/>
      <c r="H707" s="162"/>
      <c r="I707" s="162"/>
      <c r="J707" s="162"/>
      <c r="K707" s="162"/>
      <c r="L707" s="162"/>
      <c r="M707" s="162"/>
      <c r="N707" s="162"/>
      <c r="O707" s="162"/>
      <c r="P707" s="162"/>
      <c r="Q707" s="162"/>
    </row>
    <row r="708" spans="2:17" x14ac:dyDescent="0.25">
      <c r="B708" s="120"/>
      <c r="C708" s="120"/>
      <c r="D708" s="120"/>
      <c r="E708" s="162"/>
      <c r="F708" s="162"/>
      <c r="G708" s="162"/>
      <c r="H708" s="162"/>
      <c r="I708" s="162"/>
      <c r="J708" s="162"/>
      <c r="K708" s="162"/>
      <c r="L708" s="162"/>
      <c r="M708" s="162"/>
      <c r="N708" s="162"/>
      <c r="O708" s="162"/>
      <c r="P708" s="162"/>
      <c r="Q708" s="162"/>
    </row>
    <row r="709" spans="2:17" x14ac:dyDescent="0.25">
      <c r="B709" s="120"/>
      <c r="C709" s="120"/>
      <c r="D709" s="120"/>
      <c r="E709" s="162"/>
      <c r="F709" s="162"/>
      <c r="G709" s="162"/>
      <c r="H709" s="162"/>
      <c r="I709" s="162"/>
      <c r="J709" s="162"/>
      <c r="K709" s="162"/>
      <c r="L709" s="162"/>
      <c r="M709" s="162"/>
      <c r="N709" s="162"/>
      <c r="O709" s="162"/>
      <c r="P709" s="162"/>
      <c r="Q709" s="162"/>
    </row>
    <row r="710" spans="2:17" x14ac:dyDescent="0.25">
      <c r="B710" s="120"/>
      <c r="C710" s="120"/>
      <c r="D710" s="120"/>
      <c r="E710" s="162"/>
      <c r="F710" s="162"/>
      <c r="G710" s="162"/>
      <c r="H710" s="162"/>
      <c r="I710" s="162"/>
      <c r="J710" s="162"/>
      <c r="K710" s="162"/>
      <c r="L710" s="162"/>
      <c r="M710" s="162"/>
      <c r="N710" s="162"/>
      <c r="O710" s="162"/>
      <c r="P710" s="162"/>
      <c r="Q710" s="162"/>
    </row>
    <row r="711" spans="2:17" x14ac:dyDescent="0.25">
      <c r="B711" s="120"/>
      <c r="C711" s="120"/>
      <c r="D711" s="120"/>
      <c r="E711" s="162"/>
      <c r="F711" s="162"/>
      <c r="G711" s="162"/>
      <c r="H711" s="162"/>
      <c r="I711" s="162"/>
      <c r="J711" s="162"/>
      <c r="K711" s="162"/>
      <c r="L711" s="162"/>
      <c r="M711" s="162"/>
      <c r="N711" s="162"/>
      <c r="O711" s="162"/>
      <c r="P711" s="162"/>
      <c r="Q711" s="162"/>
    </row>
    <row r="712" spans="2:17" x14ac:dyDescent="0.25">
      <c r="B712" s="120"/>
      <c r="C712" s="120"/>
      <c r="D712" s="120"/>
      <c r="E712" s="162"/>
      <c r="F712" s="162"/>
      <c r="G712" s="162"/>
      <c r="H712" s="162"/>
      <c r="I712" s="162"/>
      <c r="J712" s="162"/>
      <c r="K712" s="162"/>
      <c r="L712" s="162"/>
      <c r="M712" s="162"/>
      <c r="N712" s="162"/>
      <c r="O712" s="162"/>
      <c r="P712" s="162"/>
      <c r="Q712" s="162"/>
    </row>
    <row r="713" spans="2:17" x14ac:dyDescent="0.25">
      <c r="B713" s="120"/>
      <c r="C713" s="120"/>
      <c r="D713" s="120"/>
      <c r="E713" s="162"/>
      <c r="F713" s="162"/>
      <c r="G713" s="162"/>
      <c r="H713" s="162"/>
      <c r="I713" s="162"/>
      <c r="J713" s="162"/>
      <c r="K713" s="162"/>
      <c r="L713" s="162"/>
      <c r="M713" s="162"/>
      <c r="N713" s="162"/>
      <c r="O713" s="162"/>
      <c r="P713" s="162"/>
      <c r="Q713" s="162"/>
    </row>
    <row r="714" spans="2:17" x14ac:dyDescent="0.25">
      <c r="B714" s="120"/>
      <c r="C714" s="120"/>
      <c r="D714" s="120"/>
      <c r="E714" s="162"/>
      <c r="F714" s="162"/>
      <c r="G714" s="162"/>
      <c r="H714" s="162"/>
      <c r="I714" s="162"/>
      <c r="J714" s="162"/>
      <c r="K714" s="162"/>
      <c r="L714" s="162"/>
      <c r="M714" s="162"/>
      <c r="N714" s="162"/>
      <c r="O714" s="162"/>
      <c r="P714" s="162"/>
      <c r="Q714" s="162"/>
    </row>
    <row r="715" spans="2:17" x14ac:dyDescent="0.25">
      <c r="B715" s="120"/>
      <c r="C715" s="120"/>
      <c r="D715" s="120"/>
      <c r="E715" s="162"/>
      <c r="F715" s="162"/>
      <c r="G715" s="162"/>
      <c r="H715" s="162"/>
      <c r="I715" s="162"/>
      <c r="J715" s="162"/>
      <c r="K715" s="162"/>
      <c r="L715" s="162"/>
      <c r="M715" s="162"/>
      <c r="N715" s="162"/>
      <c r="O715" s="162"/>
      <c r="P715" s="162"/>
      <c r="Q715" s="162"/>
    </row>
    <row r="716" spans="2:17" x14ac:dyDescent="0.25">
      <c r="B716" s="120"/>
      <c r="C716" s="120"/>
      <c r="D716" s="120"/>
      <c r="E716" s="162"/>
      <c r="F716" s="162"/>
      <c r="G716" s="162"/>
      <c r="H716" s="162"/>
      <c r="I716" s="162"/>
      <c r="J716" s="162"/>
      <c r="K716" s="162"/>
      <c r="L716" s="162"/>
      <c r="M716" s="162"/>
      <c r="N716" s="162"/>
      <c r="O716" s="162"/>
      <c r="P716" s="162"/>
      <c r="Q716" s="162"/>
    </row>
    <row r="717" spans="2:17" x14ac:dyDescent="0.25">
      <c r="B717" s="120"/>
      <c r="C717" s="120"/>
      <c r="D717" s="120"/>
      <c r="E717" s="162"/>
      <c r="F717" s="162"/>
      <c r="G717" s="162"/>
      <c r="H717" s="162"/>
      <c r="I717" s="162"/>
      <c r="J717" s="162"/>
      <c r="K717" s="162"/>
      <c r="L717" s="162"/>
      <c r="M717" s="162"/>
      <c r="N717" s="162"/>
      <c r="O717" s="162"/>
      <c r="P717" s="162"/>
      <c r="Q717" s="162"/>
    </row>
    <row r="718" spans="2:17" x14ac:dyDescent="0.25">
      <c r="B718" s="120"/>
      <c r="C718" s="120"/>
      <c r="D718" s="120"/>
      <c r="E718" s="162"/>
      <c r="F718" s="162"/>
      <c r="G718" s="162"/>
      <c r="H718" s="162"/>
      <c r="I718" s="162"/>
      <c r="J718" s="162"/>
      <c r="K718" s="162"/>
      <c r="L718" s="162"/>
      <c r="M718" s="162"/>
      <c r="N718" s="162"/>
      <c r="O718" s="162"/>
      <c r="P718" s="162"/>
      <c r="Q718" s="162"/>
    </row>
    <row r="719" spans="2:17" x14ac:dyDescent="0.25">
      <c r="B719" s="120"/>
      <c r="C719" s="120"/>
      <c r="D719" s="120"/>
      <c r="E719" s="162"/>
      <c r="F719" s="162"/>
      <c r="G719" s="162"/>
      <c r="H719" s="162"/>
      <c r="I719" s="162"/>
      <c r="J719" s="162"/>
      <c r="K719" s="162"/>
      <c r="L719" s="162"/>
      <c r="M719" s="162"/>
      <c r="N719" s="162"/>
      <c r="O719" s="162"/>
      <c r="P719" s="162"/>
      <c r="Q719" s="162"/>
    </row>
    <row r="720" spans="2:17" x14ac:dyDescent="0.25">
      <c r="B720" s="120"/>
      <c r="C720" s="120"/>
      <c r="D720" s="120"/>
      <c r="E720" s="162"/>
      <c r="F720" s="162"/>
      <c r="G720" s="162"/>
      <c r="H720" s="162"/>
      <c r="I720" s="162"/>
      <c r="J720" s="162"/>
      <c r="K720" s="162"/>
      <c r="L720" s="162"/>
      <c r="M720" s="162"/>
      <c r="N720" s="162"/>
      <c r="O720" s="162"/>
      <c r="P720" s="162"/>
      <c r="Q720" s="162"/>
    </row>
    <row r="721" spans="2:17" x14ac:dyDescent="0.25">
      <c r="B721" s="120"/>
      <c r="C721" s="120"/>
      <c r="D721" s="120"/>
      <c r="E721" s="162"/>
      <c r="F721" s="162"/>
      <c r="G721" s="162"/>
      <c r="H721" s="162"/>
      <c r="I721" s="162"/>
      <c r="J721" s="162"/>
      <c r="K721" s="162"/>
      <c r="L721" s="162"/>
      <c r="M721" s="162"/>
      <c r="N721" s="162"/>
      <c r="O721" s="162"/>
      <c r="P721" s="162"/>
      <c r="Q721" s="162"/>
    </row>
    <row r="722" spans="2:17" x14ac:dyDescent="0.25">
      <c r="B722" s="120"/>
      <c r="C722" s="120"/>
      <c r="D722" s="120"/>
      <c r="E722" s="162"/>
      <c r="F722" s="162"/>
      <c r="G722" s="162"/>
      <c r="H722" s="162"/>
      <c r="I722" s="162"/>
      <c r="J722" s="162"/>
      <c r="K722" s="162"/>
      <c r="L722" s="162"/>
      <c r="M722" s="162"/>
      <c r="N722" s="162"/>
      <c r="O722" s="162"/>
      <c r="P722" s="162"/>
      <c r="Q722" s="162"/>
    </row>
    <row r="723" spans="2:17" x14ac:dyDescent="0.25">
      <c r="B723" s="120"/>
      <c r="C723" s="120"/>
      <c r="D723" s="120"/>
      <c r="E723" s="162"/>
      <c r="F723" s="162"/>
      <c r="G723" s="162"/>
      <c r="H723" s="162"/>
      <c r="I723" s="162"/>
      <c r="J723" s="162"/>
      <c r="K723" s="162"/>
      <c r="L723" s="162"/>
      <c r="M723" s="162"/>
      <c r="N723" s="162"/>
      <c r="O723" s="162"/>
      <c r="P723" s="162"/>
      <c r="Q723" s="162"/>
    </row>
    <row r="724" spans="2:17" x14ac:dyDescent="0.25">
      <c r="B724" s="120"/>
      <c r="C724" s="120"/>
      <c r="D724" s="120"/>
      <c r="E724" s="162"/>
      <c r="F724" s="162"/>
      <c r="G724" s="162"/>
      <c r="H724" s="162"/>
      <c r="I724" s="162"/>
      <c r="J724" s="162"/>
      <c r="K724" s="162"/>
      <c r="L724" s="162"/>
      <c r="M724" s="162"/>
      <c r="N724" s="162"/>
      <c r="O724" s="162"/>
      <c r="P724" s="162"/>
      <c r="Q724" s="162"/>
    </row>
    <row r="725" spans="2:17" x14ac:dyDescent="0.25">
      <c r="B725" s="120"/>
      <c r="C725" s="120"/>
      <c r="D725" s="120"/>
      <c r="E725" s="162"/>
      <c r="F725" s="162"/>
      <c r="G725" s="162"/>
      <c r="H725" s="162"/>
      <c r="I725" s="162"/>
      <c r="J725" s="162"/>
      <c r="K725" s="162"/>
      <c r="L725" s="162"/>
      <c r="M725" s="162"/>
      <c r="N725" s="162"/>
      <c r="O725" s="162"/>
      <c r="P725" s="162"/>
      <c r="Q725" s="162"/>
    </row>
    <row r="726" spans="2:17" x14ac:dyDescent="0.25">
      <c r="B726" s="120"/>
      <c r="C726" s="120"/>
      <c r="D726" s="120"/>
      <c r="E726" s="162"/>
      <c r="F726" s="162"/>
      <c r="G726" s="162"/>
      <c r="H726" s="162"/>
      <c r="I726" s="162"/>
      <c r="J726" s="162"/>
      <c r="K726" s="162"/>
      <c r="L726" s="162"/>
      <c r="M726" s="162"/>
      <c r="N726" s="162"/>
      <c r="O726" s="162"/>
      <c r="P726" s="162"/>
      <c r="Q726" s="162"/>
    </row>
    <row r="727" spans="2:17" x14ac:dyDescent="0.25">
      <c r="B727" s="120"/>
      <c r="C727" s="120"/>
      <c r="D727" s="120"/>
      <c r="E727" s="162"/>
      <c r="F727" s="162"/>
      <c r="G727" s="162"/>
      <c r="H727" s="162"/>
      <c r="I727" s="162"/>
      <c r="J727" s="162"/>
      <c r="K727" s="162"/>
      <c r="L727" s="162"/>
      <c r="M727" s="162"/>
      <c r="N727" s="162"/>
      <c r="O727" s="162"/>
      <c r="P727" s="162"/>
      <c r="Q727" s="162"/>
    </row>
    <row r="728" spans="2:17" x14ac:dyDescent="0.25">
      <c r="B728" s="120"/>
      <c r="C728" s="120"/>
      <c r="D728" s="120"/>
      <c r="E728" s="162"/>
      <c r="F728" s="162"/>
      <c r="G728" s="162"/>
      <c r="H728" s="162"/>
      <c r="I728" s="162"/>
      <c r="J728" s="162"/>
      <c r="K728" s="162"/>
      <c r="L728" s="162"/>
      <c r="M728" s="162"/>
      <c r="N728" s="162"/>
      <c r="O728" s="162"/>
      <c r="P728" s="162"/>
      <c r="Q728" s="162"/>
    </row>
    <row r="729" spans="2:17" x14ac:dyDescent="0.25">
      <c r="B729" s="120"/>
      <c r="C729" s="120"/>
      <c r="D729" s="120"/>
      <c r="E729" s="162"/>
      <c r="F729" s="162"/>
      <c r="G729" s="162"/>
      <c r="H729" s="162"/>
      <c r="I729" s="162"/>
      <c r="J729" s="162"/>
      <c r="K729" s="162"/>
      <c r="L729" s="162"/>
      <c r="M729" s="162"/>
      <c r="N729" s="162"/>
      <c r="O729" s="162"/>
      <c r="P729" s="162"/>
      <c r="Q729" s="162"/>
    </row>
    <row r="730" spans="2:17" x14ac:dyDescent="0.25">
      <c r="B730" s="120"/>
      <c r="C730" s="120"/>
      <c r="D730" s="120"/>
      <c r="E730" s="162"/>
      <c r="F730" s="162"/>
      <c r="G730" s="162"/>
      <c r="H730" s="162"/>
      <c r="I730" s="162"/>
      <c r="J730" s="162"/>
      <c r="K730" s="162"/>
      <c r="L730" s="162"/>
      <c r="M730" s="162"/>
      <c r="N730" s="162"/>
      <c r="O730" s="162"/>
      <c r="P730" s="162"/>
      <c r="Q730" s="162"/>
    </row>
    <row r="731" spans="2:17" x14ac:dyDescent="0.25">
      <c r="B731" s="120"/>
      <c r="C731" s="120"/>
      <c r="D731" s="120"/>
      <c r="E731" s="162"/>
      <c r="F731" s="162"/>
      <c r="G731" s="162"/>
      <c r="H731" s="162"/>
      <c r="I731" s="162"/>
      <c r="J731" s="162"/>
      <c r="K731" s="162"/>
      <c r="L731" s="162"/>
      <c r="M731" s="162"/>
      <c r="N731" s="162"/>
      <c r="O731" s="162"/>
      <c r="P731" s="162"/>
      <c r="Q731" s="162"/>
    </row>
    <row r="732" spans="2:17" x14ac:dyDescent="0.25">
      <c r="B732" s="120"/>
      <c r="C732" s="120"/>
      <c r="D732" s="120"/>
      <c r="E732" s="162"/>
      <c r="F732" s="162"/>
      <c r="G732" s="162"/>
      <c r="H732" s="162"/>
      <c r="I732" s="162"/>
      <c r="J732" s="162"/>
      <c r="K732" s="162"/>
      <c r="L732" s="162"/>
      <c r="M732" s="162"/>
      <c r="N732" s="162"/>
      <c r="O732" s="162"/>
      <c r="P732" s="162"/>
      <c r="Q732" s="162"/>
    </row>
    <row r="733" spans="2:17" x14ac:dyDescent="0.25">
      <c r="B733" s="120"/>
      <c r="C733" s="120"/>
      <c r="D733" s="120"/>
      <c r="E733" s="162"/>
      <c r="F733" s="162"/>
      <c r="G733" s="162"/>
      <c r="H733" s="162"/>
      <c r="I733" s="162"/>
      <c r="J733" s="162"/>
      <c r="K733" s="162"/>
      <c r="L733" s="162"/>
      <c r="M733" s="162"/>
      <c r="N733" s="162"/>
      <c r="O733" s="162"/>
      <c r="P733" s="162"/>
      <c r="Q733" s="162"/>
    </row>
    <row r="734" spans="2:17" x14ac:dyDescent="0.25">
      <c r="B734" s="120"/>
      <c r="C734" s="120"/>
      <c r="D734" s="120"/>
      <c r="E734" s="162"/>
      <c r="F734" s="162"/>
      <c r="G734" s="162"/>
      <c r="H734" s="162"/>
      <c r="I734" s="162"/>
      <c r="J734" s="162"/>
      <c r="K734" s="162"/>
      <c r="L734" s="162"/>
      <c r="M734" s="162"/>
      <c r="N734" s="162"/>
      <c r="O734" s="162"/>
      <c r="P734" s="162"/>
      <c r="Q734" s="162"/>
    </row>
    <row r="735" spans="2:17" x14ac:dyDescent="0.25">
      <c r="B735" s="120"/>
      <c r="C735" s="120"/>
      <c r="D735" s="120"/>
      <c r="E735" s="162"/>
      <c r="F735" s="162"/>
      <c r="G735" s="162"/>
      <c r="H735" s="162"/>
      <c r="I735" s="162"/>
      <c r="J735" s="162"/>
      <c r="K735" s="162"/>
      <c r="L735" s="162"/>
      <c r="M735" s="162"/>
      <c r="N735" s="162"/>
      <c r="O735" s="162"/>
      <c r="P735" s="162"/>
      <c r="Q735" s="162"/>
    </row>
    <row r="736" spans="2:17" x14ac:dyDescent="0.25">
      <c r="B736" s="120"/>
      <c r="C736" s="120"/>
      <c r="D736" s="120"/>
      <c r="E736" s="162"/>
      <c r="F736" s="162"/>
      <c r="G736" s="162"/>
      <c r="H736" s="162"/>
      <c r="I736" s="162"/>
      <c r="J736" s="162"/>
      <c r="K736" s="162"/>
      <c r="L736" s="162"/>
      <c r="M736" s="162"/>
      <c r="N736" s="162"/>
      <c r="O736" s="162"/>
      <c r="P736" s="162"/>
      <c r="Q736" s="162"/>
    </row>
    <row r="737" spans="2:17" x14ac:dyDescent="0.25">
      <c r="B737" s="120"/>
      <c r="C737" s="120"/>
      <c r="D737" s="120"/>
      <c r="E737" s="162"/>
      <c r="F737" s="162"/>
      <c r="G737" s="162"/>
      <c r="H737" s="162"/>
      <c r="I737" s="162"/>
      <c r="J737" s="162"/>
      <c r="K737" s="162"/>
      <c r="L737" s="162"/>
      <c r="M737" s="162"/>
      <c r="N737" s="162"/>
      <c r="O737" s="162"/>
      <c r="P737" s="162"/>
      <c r="Q737" s="162"/>
    </row>
    <row r="738" spans="2:17" x14ac:dyDescent="0.25">
      <c r="B738" s="120"/>
      <c r="C738" s="120"/>
      <c r="D738" s="120"/>
      <c r="E738" s="162"/>
      <c r="F738" s="162"/>
      <c r="G738" s="162"/>
      <c r="H738" s="162"/>
      <c r="I738" s="162"/>
      <c r="J738" s="162"/>
      <c r="K738" s="162"/>
      <c r="L738" s="162"/>
      <c r="M738" s="162"/>
      <c r="N738" s="162"/>
      <c r="O738" s="162"/>
      <c r="P738" s="162"/>
      <c r="Q738" s="162"/>
    </row>
    <row r="739" spans="2:17" x14ac:dyDescent="0.25">
      <c r="B739" s="120"/>
      <c r="C739" s="120"/>
      <c r="D739" s="120"/>
      <c r="E739" s="162"/>
      <c r="F739" s="162"/>
      <c r="G739" s="162"/>
      <c r="H739" s="162"/>
      <c r="I739" s="162"/>
      <c r="J739" s="162"/>
      <c r="K739" s="162"/>
      <c r="L739" s="162"/>
      <c r="M739" s="162"/>
      <c r="N739" s="162"/>
      <c r="O739" s="162"/>
      <c r="P739" s="162"/>
      <c r="Q739" s="162"/>
    </row>
    <row r="740" spans="2:17" x14ac:dyDescent="0.25">
      <c r="B740" s="120"/>
      <c r="C740" s="120"/>
      <c r="D740" s="120"/>
      <c r="E740" s="162"/>
      <c r="F740" s="162"/>
      <c r="G740" s="162"/>
      <c r="H740" s="162"/>
      <c r="I740" s="162"/>
      <c r="J740" s="162"/>
      <c r="K740" s="162"/>
      <c r="L740" s="162"/>
      <c r="M740" s="162"/>
      <c r="N740" s="162"/>
      <c r="O740" s="162"/>
      <c r="P740" s="162"/>
      <c r="Q740" s="162"/>
    </row>
    <row r="741" spans="2:17" x14ac:dyDescent="0.25">
      <c r="B741" s="120"/>
      <c r="C741" s="120"/>
      <c r="D741" s="120"/>
      <c r="E741" s="162"/>
      <c r="F741" s="162"/>
      <c r="G741" s="162"/>
      <c r="H741" s="162"/>
      <c r="I741" s="162"/>
      <c r="J741" s="162"/>
      <c r="K741" s="162"/>
      <c r="L741" s="162"/>
      <c r="M741" s="162"/>
      <c r="N741" s="162"/>
      <c r="O741" s="162"/>
      <c r="P741" s="162"/>
      <c r="Q741" s="162"/>
    </row>
    <row r="742" spans="2:17" x14ac:dyDescent="0.25">
      <c r="B742" s="120"/>
      <c r="C742" s="120"/>
      <c r="D742" s="120"/>
      <c r="E742" s="162"/>
      <c r="F742" s="162"/>
      <c r="G742" s="162"/>
      <c r="H742" s="162"/>
      <c r="I742" s="162"/>
      <c r="J742" s="162"/>
      <c r="K742" s="162"/>
      <c r="L742" s="162"/>
      <c r="M742" s="162"/>
      <c r="N742" s="162"/>
      <c r="O742" s="162"/>
      <c r="P742" s="162"/>
      <c r="Q742" s="162"/>
    </row>
    <row r="743" spans="2:17" x14ac:dyDescent="0.25">
      <c r="B743" s="120"/>
      <c r="C743" s="120"/>
      <c r="D743" s="120"/>
      <c r="E743" s="162"/>
      <c r="F743" s="162"/>
      <c r="G743" s="162"/>
      <c r="H743" s="162"/>
      <c r="I743" s="162"/>
      <c r="J743" s="162"/>
      <c r="K743" s="162"/>
      <c r="L743" s="162"/>
      <c r="M743" s="162"/>
      <c r="N743" s="162"/>
      <c r="O743" s="162"/>
      <c r="P743" s="162"/>
      <c r="Q743" s="162"/>
    </row>
    <row r="744" spans="2:17" x14ac:dyDescent="0.25">
      <c r="B744" s="120"/>
      <c r="C744" s="120"/>
      <c r="D744" s="120"/>
      <c r="E744" s="162"/>
      <c r="F744" s="162"/>
      <c r="G744" s="162"/>
      <c r="H744" s="162"/>
      <c r="I744" s="162"/>
      <c r="J744" s="162"/>
      <c r="K744" s="162"/>
      <c r="L744" s="162"/>
      <c r="M744" s="162"/>
      <c r="N744" s="162"/>
      <c r="O744" s="162"/>
      <c r="P744" s="162"/>
      <c r="Q744" s="162"/>
    </row>
    <row r="745" spans="2:17" x14ac:dyDescent="0.25">
      <c r="B745" s="120"/>
      <c r="C745" s="120"/>
      <c r="D745" s="120"/>
      <c r="E745" s="162"/>
      <c r="F745" s="162"/>
      <c r="G745" s="162"/>
      <c r="H745" s="162"/>
      <c r="I745" s="162"/>
      <c r="J745" s="162"/>
      <c r="K745" s="162"/>
      <c r="L745" s="162"/>
      <c r="M745" s="162"/>
      <c r="N745" s="162"/>
      <c r="O745" s="162"/>
      <c r="P745" s="162"/>
      <c r="Q745" s="162"/>
    </row>
    <row r="746" spans="2:17" x14ac:dyDescent="0.25">
      <c r="B746" s="120"/>
      <c r="C746" s="120"/>
      <c r="D746" s="120"/>
      <c r="E746" s="162"/>
      <c r="F746" s="162"/>
      <c r="G746" s="162"/>
      <c r="H746" s="162"/>
      <c r="I746" s="162"/>
      <c r="J746" s="162"/>
      <c r="K746" s="162"/>
      <c r="L746" s="162"/>
      <c r="M746" s="162"/>
      <c r="N746" s="162"/>
      <c r="O746" s="162"/>
      <c r="P746" s="162"/>
      <c r="Q746" s="162"/>
    </row>
    <row r="747" spans="2:17" x14ac:dyDescent="0.25">
      <c r="B747" s="120"/>
      <c r="C747" s="120"/>
      <c r="D747" s="120"/>
      <c r="E747" s="162"/>
      <c r="F747" s="162"/>
      <c r="G747" s="162"/>
      <c r="H747" s="162"/>
      <c r="I747" s="162"/>
      <c r="J747" s="162"/>
      <c r="K747" s="162"/>
      <c r="L747" s="162"/>
      <c r="M747" s="162"/>
      <c r="N747" s="162"/>
      <c r="O747" s="162"/>
      <c r="P747" s="162"/>
      <c r="Q747" s="162"/>
    </row>
    <row r="748" spans="2:17" x14ac:dyDescent="0.25">
      <c r="B748" s="120"/>
      <c r="C748" s="120"/>
      <c r="D748" s="120"/>
      <c r="E748" s="162"/>
      <c r="F748" s="162"/>
      <c r="G748" s="162"/>
      <c r="H748" s="162"/>
      <c r="I748" s="162"/>
      <c r="J748" s="162"/>
      <c r="K748" s="162"/>
      <c r="L748" s="162"/>
      <c r="M748" s="162"/>
      <c r="N748" s="162"/>
      <c r="O748" s="162"/>
      <c r="P748" s="162"/>
      <c r="Q748" s="162"/>
    </row>
    <row r="749" spans="2:17" x14ac:dyDescent="0.25">
      <c r="B749" s="120"/>
      <c r="C749" s="120"/>
      <c r="D749" s="120"/>
      <c r="E749" s="162"/>
      <c r="F749" s="162"/>
      <c r="G749" s="162"/>
      <c r="H749" s="162"/>
      <c r="I749" s="162"/>
      <c r="J749" s="162"/>
      <c r="K749" s="162"/>
      <c r="L749" s="162"/>
      <c r="M749" s="162"/>
      <c r="N749" s="162"/>
      <c r="O749" s="162"/>
      <c r="P749" s="162"/>
      <c r="Q749" s="162"/>
    </row>
    <row r="750" spans="2:17" x14ac:dyDescent="0.25">
      <c r="B750" s="120"/>
      <c r="C750" s="120"/>
      <c r="D750" s="120"/>
      <c r="E750" s="162"/>
      <c r="F750" s="162"/>
      <c r="G750" s="162"/>
      <c r="H750" s="162"/>
      <c r="I750" s="162"/>
      <c r="J750" s="162"/>
      <c r="K750" s="162"/>
      <c r="L750" s="162"/>
      <c r="M750" s="162"/>
      <c r="N750" s="162"/>
      <c r="O750" s="162"/>
      <c r="P750" s="162"/>
      <c r="Q750" s="162"/>
    </row>
    <row r="751" spans="2:17" x14ac:dyDescent="0.25">
      <c r="B751" s="120"/>
      <c r="C751" s="120"/>
      <c r="D751" s="120"/>
      <c r="E751" s="162"/>
      <c r="F751" s="162"/>
      <c r="G751" s="162"/>
      <c r="H751" s="162"/>
      <c r="I751" s="162"/>
      <c r="J751" s="162"/>
      <c r="K751" s="162"/>
      <c r="L751" s="162"/>
      <c r="M751" s="162"/>
      <c r="N751" s="162"/>
      <c r="O751" s="162"/>
      <c r="P751" s="162"/>
      <c r="Q751" s="162"/>
    </row>
    <row r="752" spans="2:17" x14ac:dyDescent="0.25">
      <c r="B752" s="120"/>
      <c r="C752" s="120"/>
      <c r="D752" s="120"/>
      <c r="E752" s="162"/>
      <c r="F752" s="162"/>
      <c r="G752" s="162"/>
      <c r="H752" s="162"/>
      <c r="I752" s="162"/>
      <c r="J752" s="162"/>
      <c r="K752" s="162"/>
      <c r="L752" s="162"/>
      <c r="M752" s="162"/>
      <c r="N752" s="162"/>
      <c r="O752" s="162"/>
      <c r="P752" s="162"/>
      <c r="Q752" s="162"/>
    </row>
    <row r="753" spans="2:17" x14ac:dyDescent="0.25">
      <c r="B753" s="120"/>
      <c r="C753" s="120"/>
      <c r="D753" s="120"/>
      <c r="E753" s="162"/>
      <c r="F753" s="162"/>
      <c r="G753" s="162"/>
      <c r="H753" s="162"/>
      <c r="I753" s="162"/>
      <c r="J753" s="162"/>
      <c r="K753" s="162"/>
      <c r="L753" s="162"/>
      <c r="M753" s="162"/>
      <c r="N753" s="162"/>
      <c r="O753" s="162"/>
      <c r="P753" s="162"/>
      <c r="Q753" s="162"/>
    </row>
    <row r="754" spans="2:17" x14ac:dyDescent="0.25">
      <c r="B754" s="120"/>
      <c r="C754" s="120"/>
      <c r="D754" s="120"/>
      <c r="E754" s="162"/>
      <c r="F754" s="162"/>
      <c r="G754" s="162"/>
      <c r="H754" s="162"/>
      <c r="I754" s="162"/>
      <c r="J754" s="162"/>
      <c r="K754" s="162"/>
      <c r="L754" s="162"/>
      <c r="M754" s="162"/>
      <c r="N754" s="162"/>
      <c r="O754" s="162"/>
      <c r="P754" s="162"/>
      <c r="Q754" s="162"/>
    </row>
    <row r="755" spans="2:17" x14ac:dyDescent="0.25">
      <c r="B755" s="120"/>
      <c r="C755" s="120"/>
      <c r="D755" s="120"/>
      <c r="E755" s="162"/>
      <c r="F755" s="162"/>
      <c r="G755" s="162"/>
      <c r="H755" s="162"/>
      <c r="I755" s="162"/>
      <c r="J755" s="162"/>
      <c r="K755" s="162"/>
      <c r="L755" s="162"/>
      <c r="M755" s="162"/>
      <c r="N755" s="162"/>
      <c r="O755" s="162"/>
      <c r="P755" s="162"/>
      <c r="Q755" s="162"/>
    </row>
    <row r="756" spans="2:17" x14ac:dyDescent="0.25">
      <c r="B756" s="120"/>
      <c r="C756" s="120"/>
      <c r="D756" s="120"/>
      <c r="E756" s="162"/>
      <c r="F756" s="162"/>
      <c r="G756" s="162"/>
      <c r="H756" s="162"/>
      <c r="I756" s="162"/>
      <c r="J756" s="162"/>
      <c r="K756" s="162"/>
      <c r="L756" s="162"/>
      <c r="M756" s="162"/>
      <c r="N756" s="162"/>
      <c r="O756" s="162"/>
      <c r="P756" s="162"/>
      <c r="Q756" s="162"/>
    </row>
    <row r="757" spans="2:17" x14ac:dyDescent="0.25">
      <c r="B757" s="120"/>
      <c r="C757" s="120"/>
      <c r="D757" s="120"/>
      <c r="E757" s="162"/>
      <c r="F757" s="162"/>
      <c r="G757" s="162"/>
      <c r="H757" s="162"/>
      <c r="I757" s="162"/>
      <c r="J757" s="162"/>
      <c r="K757" s="162"/>
      <c r="L757" s="162"/>
      <c r="M757" s="162"/>
      <c r="N757" s="162"/>
      <c r="O757" s="162"/>
      <c r="P757" s="162"/>
      <c r="Q757" s="162"/>
    </row>
    <row r="758" spans="2:17" x14ac:dyDescent="0.25">
      <c r="B758" s="120"/>
      <c r="C758" s="120"/>
      <c r="D758" s="120"/>
      <c r="E758" s="162"/>
      <c r="F758" s="162"/>
      <c r="G758" s="162"/>
      <c r="H758" s="162"/>
      <c r="I758" s="162"/>
      <c r="J758" s="162"/>
      <c r="K758" s="162"/>
      <c r="L758" s="162"/>
      <c r="M758" s="162"/>
      <c r="N758" s="162"/>
      <c r="O758" s="162"/>
      <c r="P758" s="162"/>
      <c r="Q758" s="162"/>
    </row>
    <row r="759" spans="2:17" x14ac:dyDescent="0.25">
      <c r="B759" s="120"/>
      <c r="C759" s="120"/>
      <c r="D759" s="120"/>
      <c r="E759" s="162"/>
      <c r="F759" s="162"/>
      <c r="G759" s="162"/>
      <c r="H759" s="162"/>
      <c r="I759" s="162"/>
      <c r="J759" s="162"/>
      <c r="K759" s="162"/>
      <c r="L759" s="162"/>
      <c r="M759" s="162"/>
      <c r="N759" s="162"/>
      <c r="O759" s="162"/>
      <c r="P759" s="162"/>
      <c r="Q759" s="162"/>
    </row>
    <row r="760" spans="2:17" x14ac:dyDescent="0.25">
      <c r="B760" s="120"/>
      <c r="C760" s="120"/>
      <c r="D760" s="120"/>
      <c r="E760" s="162"/>
      <c r="F760" s="162"/>
      <c r="G760" s="162"/>
      <c r="H760" s="162"/>
      <c r="I760" s="162"/>
      <c r="J760" s="162"/>
      <c r="K760" s="162"/>
      <c r="L760" s="162"/>
      <c r="M760" s="162"/>
      <c r="N760" s="162"/>
      <c r="O760" s="162"/>
      <c r="P760" s="162"/>
      <c r="Q760" s="162"/>
    </row>
    <row r="761" spans="2:17" x14ac:dyDescent="0.25">
      <c r="B761" s="120"/>
      <c r="C761" s="120"/>
      <c r="D761" s="120"/>
      <c r="E761" s="162"/>
      <c r="F761" s="162"/>
      <c r="G761" s="162"/>
      <c r="H761" s="162"/>
      <c r="I761" s="162"/>
      <c r="J761" s="162"/>
      <c r="K761" s="162"/>
      <c r="L761" s="162"/>
      <c r="M761" s="162"/>
      <c r="N761" s="162"/>
      <c r="O761" s="162"/>
      <c r="P761" s="162"/>
      <c r="Q761" s="162"/>
    </row>
    <row r="762" spans="2:17" x14ac:dyDescent="0.25">
      <c r="B762" s="120"/>
      <c r="C762" s="120"/>
      <c r="D762" s="120"/>
      <c r="E762" s="162"/>
      <c r="F762" s="162"/>
      <c r="G762" s="162"/>
      <c r="H762" s="162"/>
      <c r="I762" s="162"/>
      <c r="J762" s="162"/>
      <c r="K762" s="162"/>
      <c r="L762" s="162"/>
      <c r="M762" s="162"/>
      <c r="N762" s="162"/>
      <c r="O762" s="162"/>
      <c r="P762" s="162"/>
      <c r="Q762" s="162"/>
    </row>
    <row r="763" spans="2:17" x14ac:dyDescent="0.25">
      <c r="B763" s="120"/>
      <c r="C763" s="120"/>
      <c r="D763" s="120"/>
      <c r="E763" s="162"/>
      <c r="F763" s="162"/>
      <c r="G763" s="162"/>
      <c r="H763" s="162"/>
      <c r="I763" s="162"/>
      <c r="J763" s="162"/>
      <c r="K763" s="162"/>
      <c r="L763" s="162"/>
      <c r="M763" s="162"/>
      <c r="N763" s="162"/>
      <c r="O763" s="162"/>
      <c r="P763" s="162"/>
      <c r="Q763" s="162"/>
    </row>
    <row r="764" spans="2:17" x14ac:dyDescent="0.25">
      <c r="B764" s="120"/>
      <c r="C764" s="120"/>
      <c r="D764" s="120"/>
      <c r="E764" s="162"/>
      <c r="F764" s="162"/>
      <c r="G764" s="162"/>
      <c r="H764" s="162"/>
      <c r="I764" s="162"/>
      <c r="J764" s="162"/>
      <c r="K764" s="162"/>
      <c r="L764" s="162"/>
      <c r="M764" s="162"/>
      <c r="N764" s="162"/>
      <c r="O764" s="162"/>
      <c r="P764" s="162"/>
      <c r="Q764" s="162"/>
    </row>
    <row r="765" spans="2:17" x14ac:dyDescent="0.25">
      <c r="B765" s="120"/>
      <c r="C765" s="120"/>
      <c r="D765" s="120"/>
      <c r="E765" s="162"/>
      <c r="F765" s="162"/>
      <c r="G765" s="162"/>
      <c r="H765" s="162"/>
      <c r="I765" s="162"/>
      <c r="J765" s="162"/>
      <c r="K765" s="162"/>
      <c r="L765" s="162"/>
      <c r="M765" s="162"/>
      <c r="N765" s="162"/>
      <c r="O765" s="162"/>
      <c r="P765" s="162"/>
      <c r="Q765" s="162"/>
    </row>
    <row r="766" spans="2:17" x14ac:dyDescent="0.25">
      <c r="B766" s="120"/>
      <c r="C766" s="120"/>
      <c r="D766" s="120"/>
      <c r="E766" s="162"/>
      <c r="F766" s="162"/>
      <c r="G766" s="162"/>
      <c r="H766" s="162"/>
      <c r="I766" s="162"/>
      <c r="J766" s="162"/>
      <c r="K766" s="162"/>
      <c r="L766" s="162"/>
      <c r="M766" s="162"/>
      <c r="N766" s="162"/>
      <c r="O766" s="162"/>
      <c r="P766" s="162"/>
      <c r="Q766" s="162"/>
    </row>
    <row r="767" spans="2:17" x14ac:dyDescent="0.25">
      <c r="B767" s="120"/>
      <c r="C767" s="120"/>
      <c r="D767" s="120"/>
      <c r="E767" s="162"/>
      <c r="F767" s="162"/>
      <c r="G767" s="162"/>
      <c r="H767" s="162"/>
      <c r="I767" s="162"/>
      <c r="J767" s="162"/>
      <c r="K767" s="162"/>
      <c r="L767" s="162"/>
      <c r="M767" s="162"/>
      <c r="N767" s="162"/>
      <c r="O767" s="162"/>
      <c r="P767" s="162"/>
      <c r="Q767" s="162"/>
    </row>
    <row r="768" spans="2:17" x14ac:dyDescent="0.25">
      <c r="B768" s="120"/>
      <c r="C768" s="120"/>
      <c r="D768" s="120"/>
      <c r="E768" s="162"/>
      <c r="F768" s="162"/>
      <c r="G768" s="162"/>
      <c r="H768" s="162"/>
      <c r="I768" s="162"/>
      <c r="J768" s="162"/>
      <c r="K768" s="162"/>
      <c r="L768" s="162"/>
      <c r="M768" s="162"/>
      <c r="N768" s="162"/>
      <c r="O768" s="162"/>
      <c r="P768" s="162"/>
      <c r="Q768" s="162"/>
    </row>
    <row r="769" spans="2:17" x14ac:dyDescent="0.25">
      <c r="B769" s="120"/>
      <c r="C769" s="120"/>
      <c r="D769" s="120"/>
      <c r="E769" s="162"/>
      <c r="F769" s="162"/>
      <c r="G769" s="162"/>
      <c r="H769" s="162"/>
      <c r="I769" s="162"/>
      <c r="J769" s="162"/>
      <c r="K769" s="162"/>
      <c r="L769" s="162"/>
      <c r="M769" s="162"/>
      <c r="N769" s="162"/>
      <c r="O769" s="162"/>
      <c r="P769" s="162"/>
      <c r="Q769" s="162"/>
    </row>
    <row r="770" spans="2:17" x14ac:dyDescent="0.25">
      <c r="B770" s="120"/>
      <c r="C770" s="120"/>
      <c r="D770" s="120"/>
      <c r="E770" s="162"/>
      <c r="F770" s="162"/>
      <c r="G770" s="162"/>
      <c r="H770" s="162"/>
      <c r="I770" s="162"/>
      <c r="J770" s="162"/>
      <c r="K770" s="162"/>
      <c r="L770" s="162"/>
      <c r="M770" s="162"/>
      <c r="N770" s="162"/>
      <c r="O770" s="162"/>
      <c r="P770" s="162"/>
      <c r="Q770" s="162"/>
    </row>
    <row r="771" spans="2:17" x14ac:dyDescent="0.25">
      <c r="B771" s="120"/>
      <c r="C771" s="120"/>
      <c r="D771" s="120"/>
      <c r="E771" s="162"/>
      <c r="F771" s="162"/>
      <c r="G771" s="162"/>
      <c r="H771" s="162"/>
      <c r="I771" s="162"/>
      <c r="J771" s="162"/>
      <c r="K771" s="162"/>
      <c r="L771" s="162"/>
      <c r="M771" s="162"/>
      <c r="N771" s="162"/>
      <c r="O771" s="162"/>
      <c r="P771" s="162"/>
      <c r="Q771" s="162"/>
    </row>
    <row r="772" spans="2:17" x14ac:dyDescent="0.25">
      <c r="B772" s="120"/>
      <c r="C772" s="120"/>
      <c r="D772" s="120"/>
      <c r="E772" s="162"/>
      <c r="F772" s="162"/>
      <c r="G772" s="162"/>
      <c r="H772" s="162"/>
      <c r="I772" s="162"/>
      <c r="J772" s="162"/>
      <c r="K772" s="162"/>
      <c r="L772" s="162"/>
      <c r="M772" s="162"/>
      <c r="N772" s="162"/>
      <c r="O772" s="162"/>
      <c r="P772" s="162"/>
      <c r="Q772" s="162"/>
    </row>
    <row r="773" spans="2:17" x14ac:dyDescent="0.25">
      <c r="B773" s="120"/>
      <c r="C773" s="120"/>
      <c r="D773" s="120"/>
      <c r="E773" s="162"/>
      <c r="F773" s="162"/>
      <c r="G773" s="162"/>
      <c r="H773" s="162"/>
      <c r="I773" s="162"/>
      <c r="J773" s="162"/>
      <c r="K773" s="162"/>
      <c r="L773" s="162"/>
      <c r="M773" s="162"/>
      <c r="N773" s="162"/>
      <c r="O773" s="162"/>
      <c r="P773" s="162"/>
      <c r="Q773" s="162"/>
    </row>
    <row r="774" spans="2:17" x14ac:dyDescent="0.25">
      <c r="B774" s="120"/>
      <c r="C774" s="120"/>
      <c r="D774" s="120"/>
      <c r="E774" s="162"/>
      <c r="F774" s="162"/>
      <c r="G774" s="162"/>
      <c r="H774" s="162"/>
      <c r="I774" s="162"/>
      <c r="J774" s="162"/>
      <c r="K774" s="162"/>
      <c r="L774" s="162"/>
      <c r="M774" s="162"/>
      <c r="N774" s="162"/>
      <c r="O774" s="162"/>
      <c r="P774" s="162"/>
      <c r="Q774" s="162"/>
    </row>
    <row r="775" spans="2:17" x14ac:dyDescent="0.25">
      <c r="B775" s="120"/>
      <c r="C775" s="120"/>
      <c r="D775" s="120"/>
      <c r="E775" s="162"/>
      <c r="F775" s="162"/>
      <c r="G775" s="162"/>
      <c r="H775" s="162"/>
      <c r="I775" s="162"/>
      <c r="J775" s="162"/>
      <c r="K775" s="162"/>
      <c r="L775" s="162"/>
      <c r="M775" s="162"/>
      <c r="N775" s="162"/>
      <c r="O775" s="162"/>
      <c r="P775" s="162"/>
      <c r="Q775" s="162"/>
    </row>
    <row r="776" spans="2:17" x14ac:dyDescent="0.25">
      <c r="B776" s="120"/>
      <c r="C776" s="120"/>
      <c r="D776" s="120"/>
      <c r="E776" s="162"/>
      <c r="F776" s="162"/>
      <c r="G776" s="162"/>
      <c r="H776" s="162"/>
      <c r="I776" s="162"/>
      <c r="J776" s="162"/>
      <c r="K776" s="162"/>
      <c r="L776" s="162"/>
      <c r="M776" s="162"/>
      <c r="N776" s="162"/>
      <c r="O776" s="162"/>
      <c r="P776" s="162"/>
      <c r="Q776" s="162"/>
    </row>
    <row r="777" spans="2:17" x14ac:dyDescent="0.25">
      <c r="B777" s="120"/>
      <c r="C777" s="120"/>
      <c r="D777" s="120"/>
      <c r="E777" s="162"/>
      <c r="F777" s="162"/>
      <c r="G777" s="162"/>
      <c r="H777" s="162"/>
      <c r="I777" s="162"/>
      <c r="J777" s="162"/>
      <c r="K777" s="162"/>
      <c r="L777" s="162"/>
      <c r="M777" s="162"/>
      <c r="N777" s="162"/>
      <c r="O777" s="162"/>
      <c r="P777" s="162"/>
      <c r="Q777" s="162"/>
    </row>
    <row r="778" spans="2:17" x14ac:dyDescent="0.25">
      <c r="B778" s="120"/>
      <c r="C778" s="120"/>
      <c r="D778" s="120"/>
      <c r="E778" s="162"/>
      <c r="F778" s="162"/>
      <c r="G778" s="162"/>
      <c r="H778" s="162"/>
      <c r="I778" s="162"/>
      <c r="J778" s="162"/>
      <c r="K778" s="162"/>
      <c r="L778" s="162"/>
      <c r="M778" s="162"/>
      <c r="N778" s="162"/>
      <c r="O778" s="162"/>
      <c r="P778" s="162"/>
      <c r="Q778" s="162"/>
    </row>
    <row r="779" spans="2:17" x14ac:dyDescent="0.25">
      <c r="B779" s="120"/>
      <c r="C779" s="120"/>
      <c r="D779" s="120"/>
      <c r="E779" s="162"/>
      <c r="F779" s="162"/>
      <c r="G779" s="162"/>
      <c r="H779" s="162"/>
      <c r="I779" s="162"/>
      <c r="J779" s="162"/>
      <c r="K779" s="162"/>
      <c r="L779" s="162"/>
      <c r="M779" s="162"/>
      <c r="N779" s="162"/>
      <c r="O779" s="162"/>
      <c r="P779" s="162"/>
      <c r="Q779" s="162"/>
    </row>
    <row r="780" spans="2:17" x14ac:dyDescent="0.25">
      <c r="B780" s="120"/>
      <c r="C780" s="120"/>
      <c r="D780" s="120"/>
      <c r="E780" s="162"/>
      <c r="F780" s="162"/>
      <c r="G780" s="162"/>
      <c r="H780" s="162"/>
      <c r="I780" s="162"/>
      <c r="J780" s="162"/>
      <c r="K780" s="162"/>
      <c r="L780" s="162"/>
      <c r="M780" s="162"/>
      <c r="N780" s="162"/>
      <c r="O780" s="162"/>
      <c r="P780" s="162"/>
      <c r="Q780" s="162"/>
    </row>
    <row r="781" spans="2:17" x14ac:dyDescent="0.25">
      <c r="B781" s="120"/>
      <c r="C781" s="120"/>
      <c r="D781" s="120"/>
      <c r="E781" s="162"/>
      <c r="F781" s="162"/>
      <c r="G781" s="162"/>
      <c r="H781" s="162"/>
      <c r="I781" s="162"/>
      <c r="J781" s="162"/>
      <c r="K781" s="162"/>
      <c r="L781" s="162"/>
      <c r="M781" s="162"/>
      <c r="N781" s="162"/>
      <c r="O781" s="162"/>
      <c r="P781" s="162"/>
      <c r="Q781" s="162"/>
    </row>
    <row r="782" spans="2:17" x14ac:dyDescent="0.25">
      <c r="B782" s="120"/>
      <c r="C782" s="120"/>
      <c r="D782" s="120"/>
      <c r="E782" s="162"/>
      <c r="F782" s="162"/>
      <c r="G782" s="162"/>
      <c r="H782" s="162"/>
      <c r="I782" s="162"/>
      <c r="J782" s="162"/>
      <c r="K782" s="162"/>
      <c r="L782" s="162"/>
      <c r="M782" s="162"/>
      <c r="N782" s="162"/>
      <c r="O782" s="162"/>
      <c r="P782" s="162"/>
      <c r="Q782" s="162"/>
    </row>
    <row r="783" spans="2:17" x14ac:dyDescent="0.25">
      <c r="B783" s="120"/>
      <c r="C783" s="120"/>
      <c r="D783" s="120"/>
      <c r="E783" s="162"/>
      <c r="F783" s="162"/>
      <c r="G783" s="162"/>
      <c r="H783" s="162"/>
      <c r="I783" s="162"/>
      <c r="J783" s="162"/>
      <c r="K783" s="162"/>
      <c r="L783" s="162"/>
      <c r="M783" s="162"/>
      <c r="N783" s="162"/>
      <c r="O783" s="162"/>
      <c r="P783" s="162"/>
      <c r="Q783" s="162"/>
    </row>
    <row r="784" spans="2:17" x14ac:dyDescent="0.25">
      <c r="B784" s="120"/>
      <c r="C784" s="120"/>
      <c r="D784" s="120"/>
      <c r="E784" s="162"/>
      <c r="F784" s="162"/>
      <c r="G784" s="162"/>
      <c r="H784" s="162"/>
      <c r="I784" s="162"/>
      <c r="J784" s="162"/>
      <c r="K784" s="162"/>
      <c r="L784" s="162"/>
      <c r="M784" s="162"/>
      <c r="N784" s="162"/>
      <c r="O784" s="162"/>
      <c r="P784" s="162"/>
      <c r="Q784" s="162"/>
    </row>
    <row r="785" spans="2:17" x14ac:dyDescent="0.25">
      <c r="B785" s="120"/>
      <c r="C785" s="120"/>
      <c r="D785" s="120"/>
      <c r="E785" s="162"/>
      <c r="F785" s="162"/>
      <c r="G785" s="162"/>
      <c r="H785" s="162"/>
      <c r="I785" s="162"/>
      <c r="J785" s="162"/>
      <c r="K785" s="162"/>
      <c r="L785" s="162"/>
      <c r="M785" s="162"/>
      <c r="N785" s="162"/>
      <c r="O785" s="162"/>
      <c r="P785" s="162"/>
      <c r="Q785" s="162"/>
    </row>
    <row r="786" spans="2:17" x14ac:dyDescent="0.25">
      <c r="B786" s="120"/>
      <c r="C786" s="120"/>
      <c r="D786" s="120"/>
      <c r="E786" s="162"/>
      <c r="F786" s="162"/>
      <c r="G786" s="162"/>
      <c r="H786" s="162"/>
      <c r="I786" s="162"/>
      <c r="J786" s="162"/>
      <c r="K786" s="162"/>
      <c r="L786" s="162"/>
      <c r="M786" s="162"/>
      <c r="N786" s="162"/>
      <c r="O786" s="162"/>
      <c r="P786" s="162"/>
      <c r="Q786" s="162"/>
    </row>
    <row r="787" spans="2:17" x14ac:dyDescent="0.25">
      <c r="B787" s="120"/>
      <c r="C787" s="120"/>
      <c r="D787" s="120"/>
      <c r="E787" s="162"/>
      <c r="F787" s="162"/>
      <c r="G787" s="162"/>
      <c r="H787" s="162"/>
      <c r="I787" s="162"/>
      <c r="J787" s="162"/>
      <c r="K787" s="162"/>
      <c r="L787" s="162"/>
      <c r="M787" s="162"/>
      <c r="N787" s="162"/>
      <c r="O787" s="162"/>
      <c r="P787" s="162"/>
      <c r="Q787" s="162"/>
    </row>
    <row r="788" spans="2:17" x14ac:dyDescent="0.25">
      <c r="B788" s="120"/>
      <c r="C788" s="120"/>
      <c r="D788" s="120"/>
      <c r="E788" s="162"/>
      <c r="F788" s="162"/>
      <c r="G788" s="162"/>
      <c r="H788" s="162"/>
      <c r="I788" s="162"/>
      <c r="J788" s="162"/>
      <c r="K788" s="162"/>
      <c r="L788" s="162"/>
      <c r="M788" s="162"/>
      <c r="N788" s="162"/>
      <c r="O788" s="162"/>
      <c r="P788" s="162"/>
      <c r="Q788" s="162"/>
    </row>
    <row r="789" spans="2:17" x14ac:dyDescent="0.25">
      <c r="B789" s="120"/>
      <c r="C789" s="120"/>
      <c r="D789" s="120"/>
      <c r="E789" s="162"/>
      <c r="F789" s="162"/>
      <c r="G789" s="162"/>
      <c r="H789" s="162"/>
      <c r="I789" s="162"/>
      <c r="J789" s="162"/>
      <c r="K789" s="162"/>
      <c r="L789" s="162"/>
      <c r="M789" s="162"/>
      <c r="N789" s="162"/>
      <c r="O789" s="162"/>
      <c r="P789" s="162"/>
      <c r="Q789" s="162"/>
    </row>
    <row r="790" spans="2:17" x14ac:dyDescent="0.25">
      <c r="B790" s="120"/>
      <c r="C790" s="120"/>
      <c r="D790" s="120"/>
      <c r="E790" s="162"/>
      <c r="F790" s="162"/>
      <c r="G790" s="162"/>
      <c r="H790" s="162"/>
      <c r="I790" s="162"/>
      <c r="J790" s="162"/>
      <c r="K790" s="162"/>
      <c r="L790" s="162"/>
      <c r="M790" s="162"/>
      <c r="N790" s="162"/>
      <c r="O790" s="162"/>
      <c r="P790" s="162"/>
      <c r="Q790" s="162"/>
    </row>
    <row r="791" spans="2:17" x14ac:dyDescent="0.25">
      <c r="B791" s="120"/>
      <c r="C791" s="120"/>
      <c r="D791" s="120"/>
      <c r="E791" s="162"/>
      <c r="F791" s="162"/>
      <c r="G791" s="162"/>
      <c r="H791" s="162"/>
      <c r="I791" s="162"/>
      <c r="J791" s="162"/>
      <c r="K791" s="162"/>
      <c r="L791" s="162"/>
      <c r="M791" s="162"/>
      <c r="N791" s="162"/>
      <c r="O791" s="162"/>
      <c r="P791" s="162"/>
      <c r="Q791" s="162"/>
    </row>
    <row r="792" spans="2:17" x14ac:dyDescent="0.25">
      <c r="B792" s="120"/>
      <c r="C792" s="120"/>
      <c r="D792" s="120"/>
      <c r="E792" s="162"/>
      <c r="F792" s="162"/>
      <c r="G792" s="162"/>
      <c r="H792" s="162"/>
      <c r="I792" s="162"/>
      <c r="J792" s="162"/>
      <c r="K792" s="162"/>
      <c r="L792" s="162"/>
      <c r="M792" s="162"/>
      <c r="N792" s="162"/>
      <c r="O792" s="162"/>
      <c r="P792" s="162"/>
      <c r="Q792" s="162"/>
    </row>
    <row r="793" spans="2:17" x14ac:dyDescent="0.25">
      <c r="B793" s="120"/>
      <c r="C793" s="120"/>
      <c r="D793" s="120"/>
      <c r="E793" s="162"/>
      <c r="F793" s="162"/>
      <c r="G793" s="162"/>
      <c r="H793" s="162"/>
      <c r="I793" s="162"/>
      <c r="J793" s="162"/>
      <c r="K793" s="162"/>
      <c r="L793" s="162"/>
      <c r="M793" s="162"/>
      <c r="N793" s="162"/>
      <c r="O793" s="162"/>
      <c r="P793" s="162"/>
      <c r="Q793" s="162"/>
    </row>
    <row r="794" spans="2:17" x14ac:dyDescent="0.25">
      <c r="B794" s="120"/>
      <c r="C794" s="120"/>
      <c r="D794" s="120"/>
      <c r="E794" s="162"/>
      <c r="F794" s="162"/>
      <c r="G794" s="162"/>
      <c r="H794" s="162"/>
      <c r="I794" s="162"/>
      <c r="J794" s="162"/>
      <c r="K794" s="162"/>
      <c r="L794" s="162"/>
      <c r="M794" s="162"/>
      <c r="N794" s="162"/>
      <c r="O794" s="162"/>
      <c r="P794" s="162"/>
      <c r="Q794" s="162"/>
    </row>
    <row r="795" spans="2:17" x14ac:dyDescent="0.25">
      <c r="B795" s="120"/>
      <c r="C795" s="120"/>
      <c r="D795" s="120"/>
      <c r="E795" s="162"/>
      <c r="F795" s="162"/>
      <c r="G795" s="162"/>
      <c r="H795" s="162"/>
      <c r="I795" s="162"/>
      <c r="J795" s="162"/>
      <c r="K795" s="162"/>
      <c r="L795" s="162"/>
      <c r="M795" s="162"/>
      <c r="N795" s="162"/>
      <c r="O795" s="162"/>
      <c r="P795" s="162"/>
      <c r="Q795" s="162"/>
    </row>
    <row r="796" spans="2:17" x14ac:dyDescent="0.25">
      <c r="B796" s="120"/>
      <c r="C796" s="120"/>
      <c r="D796" s="120"/>
      <c r="E796" s="162"/>
      <c r="F796" s="162"/>
      <c r="G796" s="162"/>
      <c r="H796" s="162"/>
      <c r="I796" s="162"/>
      <c r="J796" s="162"/>
      <c r="K796" s="162"/>
      <c r="L796" s="162"/>
      <c r="M796" s="162"/>
      <c r="N796" s="162"/>
      <c r="O796" s="162"/>
      <c r="P796" s="162"/>
      <c r="Q796" s="162"/>
    </row>
    <row r="797" spans="2:17" x14ac:dyDescent="0.25">
      <c r="B797" s="120"/>
      <c r="C797" s="120"/>
      <c r="D797" s="120"/>
      <c r="E797" s="162"/>
      <c r="F797" s="162"/>
      <c r="G797" s="162"/>
      <c r="H797" s="162"/>
      <c r="I797" s="162"/>
      <c r="J797" s="162"/>
      <c r="K797" s="162"/>
      <c r="L797" s="162"/>
      <c r="M797" s="162"/>
      <c r="N797" s="162"/>
      <c r="O797" s="162"/>
      <c r="P797" s="162"/>
      <c r="Q797" s="162"/>
    </row>
    <row r="798" spans="2:17" x14ac:dyDescent="0.25">
      <c r="B798" s="120"/>
      <c r="C798" s="120"/>
      <c r="D798" s="120"/>
      <c r="E798" s="162"/>
      <c r="F798" s="162"/>
      <c r="G798" s="162"/>
      <c r="H798" s="162"/>
      <c r="I798" s="162"/>
      <c r="J798" s="162"/>
      <c r="K798" s="162"/>
      <c r="L798" s="162"/>
      <c r="M798" s="162"/>
      <c r="N798" s="162"/>
      <c r="O798" s="162"/>
      <c r="P798" s="162"/>
      <c r="Q798" s="162"/>
    </row>
    <row r="799" spans="2:17" x14ac:dyDescent="0.25">
      <c r="B799" s="120"/>
      <c r="C799" s="120"/>
      <c r="D799" s="120"/>
      <c r="E799" s="162"/>
      <c r="F799" s="162"/>
      <c r="G799" s="162"/>
      <c r="H799" s="162"/>
      <c r="I799" s="162"/>
      <c r="J799" s="162"/>
      <c r="K799" s="162"/>
      <c r="L799" s="162"/>
      <c r="M799" s="162"/>
      <c r="N799" s="162"/>
      <c r="O799" s="162"/>
      <c r="P799" s="162"/>
      <c r="Q799" s="162"/>
    </row>
    <row r="800" spans="2:17" x14ac:dyDescent="0.25">
      <c r="B800" s="120"/>
      <c r="C800" s="120"/>
      <c r="D800" s="120"/>
      <c r="E800" s="162"/>
      <c r="F800" s="162"/>
      <c r="G800" s="162"/>
      <c r="H800" s="162"/>
      <c r="I800" s="162"/>
      <c r="J800" s="162"/>
      <c r="K800" s="162"/>
      <c r="L800" s="162"/>
      <c r="M800" s="162"/>
      <c r="N800" s="162"/>
      <c r="O800" s="162"/>
      <c r="P800" s="162"/>
      <c r="Q800" s="162"/>
    </row>
    <row r="801" spans="2:17" x14ac:dyDescent="0.25">
      <c r="B801" s="120"/>
      <c r="C801" s="120"/>
      <c r="D801" s="120"/>
      <c r="E801" s="162"/>
      <c r="F801" s="162"/>
      <c r="G801" s="162"/>
      <c r="H801" s="162"/>
      <c r="I801" s="162"/>
      <c r="J801" s="162"/>
      <c r="K801" s="162"/>
      <c r="L801" s="162"/>
      <c r="M801" s="162"/>
      <c r="N801" s="162"/>
      <c r="O801" s="162"/>
      <c r="P801" s="162"/>
      <c r="Q801" s="162"/>
    </row>
    <row r="802" spans="2:17" x14ac:dyDescent="0.25">
      <c r="B802" s="120"/>
      <c r="C802" s="120"/>
      <c r="D802" s="120"/>
      <c r="E802" s="162"/>
      <c r="F802" s="162"/>
      <c r="G802" s="162"/>
      <c r="H802" s="162"/>
      <c r="I802" s="162"/>
      <c r="J802" s="162"/>
      <c r="K802" s="162"/>
      <c r="L802" s="162"/>
      <c r="M802" s="162"/>
      <c r="N802" s="162"/>
      <c r="O802" s="162"/>
      <c r="P802" s="162"/>
      <c r="Q802" s="162"/>
    </row>
    <row r="803" spans="2:17" x14ac:dyDescent="0.25">
      <c r="B803" s="120"/>
      <c r="C803" s="120"/>
      <c r="D803" s="120"/>
      <c r="E803" s="162"/>
      <c r="F803" s="162"/>
      <c r="G803" s="162"/>
      <c r="H803" s="162"/>
      <c r="I803" s="162"/>
      <c r="J803" s="162"/>
      <c r="K803" s="162"/>
      <c r="L803" s="162"/>
      <c r="M803" s="162"/>
      <c r="N803" s="162"/>
      <c r="O803" s="162"/>
      <c r="P803" s="162"/>
      <c r="Q803" s="162"/>
    </row>
    <row r="804" spans="2:17" x14ac:dyDescent="0.25">
      <c r="B804" s="120"/>
      <c r="C804" s="120"/>
      <c r="D804" s="120"/>
      <c r="E804" s="162"/>
      <c r="F804" s="162"/>
      <c r="G804" s="162"/>
      <c r="H804" s="162"/>
      <c r="I804" s="162"/>
      <c r="J804" s="162"/>
      <c r="K804" s="162"/>
      <c r="L804" s="162"/>
      <c r="M804" s="162"/>
      <c r="N804" s="162"/>
      <c r="O804" s="162"/>
      <c r="P804" s="162"/>
      <c r="Q804" s="162"/>
    </row>
    <row r="805" spans="2:17" x14ac:dyDescent="0.25">
      <c r="B805" s="120"/>
      <c r="C805" s="120"/>
      <c r="D805" s="120"/>
      <c r="E805" s="162"/>
      <c r="F805" s="162"/>
      <c r="G805" s="162"/>
      <c r="H805" s="162"/>
      <c r="I805" s="162"/>
      <c r="J805" s="162"/>
      <c r="K805" s="162"/>
      <c r="L805" s="162"/>
      <c r="M805" s="162"/>
      <c r="N805" s="162"/>
      <c r="O805" s="162"/>
      <c r="P805" s="162"/>
      <c r="Q805" s="162"/>
    </row>
    <row r="806" spans="2:17" x14ac:dyDescent="0.25">
      <c r="B806" s="120"/>
      <c r="C806" s="120"/>
      <c r="D806" s="120"/>
      <c r="E806" s="162"/>
      <c r="F806" s="162"/>
      <c r="G806" s="162"/>
      <c r="H806" s="162"/>
      <c r="I806" s="162"/>
      <c r="J806" s="162"/>
      <c r="K806" s="162"/>
      <c r="L806" s="162"/>
      <c r="M806" s="162"/>
      <c r="N806" s="162"/>
      <c r="O806" s="162"/>
      <c r="P806" s="162"/>
      <c r="Q806" s="162"/>
    </row>
    <row r="807" spans="2:17" x14ac:dyDescent="0.25">
      <c r="B807" s="120"/>
      <c r="C807" s="120"/>
      <c r="D807" s="120"/>
      <c r="E807" s="162"/>
      <c r="F807" s="162"/>
      <c r="G807" s="162"/>
      <c r="H807" s="162"/>
      <c r="I807" s="162"/>
      <c r="J807" s="162"/>
      <c r="K807" s="162"/>
      <c r="L807" s="162"/>
      <c r="M807" s="162"/>
      <c r="N807" s="162"/>
      <c r="O807" s="162"/>
      <c r="P807" s="162"/>
      <c r="Q807" s="162"/>
    </row>
    <row r="808" spans="2:17" x14ac:dyDescent="0.25">
      <c r="B808" s="120"/>
      <c r="C808" s="120"/>
      <c r="D808" s="120"/>
      <c r="E808" s="162"/>
      <c r="F808" s="162"/>
      <c r="G808" s="162"/>
      <c r="H808" s="162"/>
      <c r="I808" s="162"/>
      <c r="J808" s="162"/>
      <c r="K808" s="162"/>
      <c r="L808" s="162"/>
      <c r="M808" s="162"/>
      <c r="N808" s="162"/>
      <c r="O808" s="162"/>
      <c r="P808" s="162"/>
      <c r="Q808" s="162"/>
    </row>
    <row r="809" spans="2:17" x14ac:dyDescent="0.25">
      <c r="B809" s="120"/>
      <c r="C809" s="120"/>
      <c r="D809" s="120"/>
      <c r="E809" s="162"/>
      <c r="F809" s="162"/>
      <c r="G809" s="162"/>
      <c r="H809" s="162"/>
      <c r="I809" s="162"/>
      <c r="J809" s="162"/>
      <c r="K809" s="162"/>
      <c r="L809" s="162"/>
      <c r="M809" s="162"/>
      <c r="N809" s="162"/>
      <c r="O809" s="162"/>
      <c r="P809" s="162"/>
      <c r="Q809" s="162"/>
    </row>
    <row r="810" spans="2:17" x14ac:dyDescent="0.25">
      <c r="B810" s="120"/>
      <c r="C810" s="120"/>
      <c r="D810" s="120"/>
      <c r="E810" s="162"/>
      <c r="F810" s="162"/>
      <c r="G810" s="162"/>
      <c r="H810" s="162"/>
      <c r="I810" s="162"/>
      <c r="J810" s="162"/>
      <c r="K810" s="162"/>
      <c r="L810" s="162"/>
      <c r="M810" s="162"/>
      <c r="N810" s="162"/>
      <c r="O810" s="162"/>
      <c r="P810" s="162"/>
      <c r="Q810" s="162"/>
    </row>
    <row r="811" spans="2:17" x14ac:dyDescent="0.25">
      <c r="B811" s="120"/>
      <c r="C811" s="120"/>
      <c r="D811" s="120"/>
      <c r="E811" s="162"/>
      <c r="F811" s="162"/>
      <c r="G811" s="162"/>
      <c r="H811" s="162"/>
      <c r="I811" s="162"/>
      <c r="J811" s="162"/>
      <c r="K811" s="162"/>
      <c r="L811" s="162"/>
      <c r="M811" s="162"/>
      <c r="N811" s="162"/>
      <c r="O811" s="162"/>
      <c r="P811" s="162"/>
      <c r="Q811" s="162"/>
    </row>
    <row r="812" spans="2:17" x14ac:dyDescent="0.25">
      <c r="B812" s="120"/>
      <c r="C812" s="120"/>
      <c r="D812" s="120"/>
      <c r="E812" s="162"/>
      <c r="F812" s="162"/>
      <c r="G812" s="162"/>
      <c r="H812" s="162"/>
      <c r="I812" s="162"/>
      <c r="J812" s="162"/>
      <c r="K812" s="162"/>
      <c r="L812" s="162"/>
      <c r="M812" s="162"/>
      <c r="N812" s="162"/>
      <c r="O812" s="162"/>
      <c r="P812" s="162"/>
      <c r="Q812" s="162"/>
    </row>
    <row r="813" spans="2:17" x14ac:dyDescent="0.25">
      <c r="B813" s="120"/>
      <c r="C813" s="120"/>
      <c r="D813" s="120"/>
      <c r="E813" s="162"/>
      <c r="F813" s="162"/>
      <c r="G813" s="162"/>
      <c r="H813" s="162"/>
      <c r="I813" s="162"/>
      <c r="J813" s="162"/>
      <c r="K813" s="162"/>
      <c r="L813" s="162"/>
      <c r="M813" s="162"/>
      <c r="N813" s="162"/>
      <c r="O813" s="162"/>
      <c r="P813" s="162"/>
      <c r="Q813" s="162"/>
    </row>
    <row r="814" spans="2:17" x14ac:dyDescent="0.25">
      <c r="B814" s="120"/>
      <c r="C814" s="120"/>
      <c r="D814" s="120"/>
      <c r="E814" s="162"/>
      <c r="F814" s="162"/>
      <c r="G814" s="162"/>
      <c r="H814" s="162"/>
      <c r="I814" s="162"/>
      <c r="J814" s="162"/>
      <c r="K814" s="162"/>
      <c r="L814" s="162"/>
      <c r="M814" s="162"/>
      <c r="N814" s="162"/>
      <c r="O814" s="162"/>
      <c r="P814" s="162"/>
      <c r="Q814" s="162"/>
    </row>
    <row r="815" spans="2:17" x14ac:dyDescent="0.25">
      <c r="B815" s="120"/>
      <c r="C815" s="120"/>
      <c r="D815" s="120"/>
      <c r="E815" s="162"/>
      <c r="F815" s="162"/>
      <c r="G815" s="162"/>
      <c r="H815" s="162"/>
      <c r="I815" s="162"/>
      <c r="J815" s="162"/>
      <c r="K815" s="162"/>
      <c r="L815" s="162"/>
      <c r="M815" s="162"/>
      <c r="N815" s="162"/>
      <c r="O815" s="162"/>
      <c r="P815" s="162"/>
      <c r="Q815" s="162"/>
    </row>
    <row r="816" spans="2:17" x14ac:dyDescent="0.25">
      <c r="B816" s="120"/>
      <c r="C816" s="120"/>
      <c r="D816" s="120"/>
      <c r="E816" s="162"/>
      <c r="F816" s="162"/>
      <c r="G816" s="162"/>
      <c r="H816" s="162"/>
      <c r="I816" s="162"/>
      <c r="J816" s="162"/>
      <c r="K816" s="162"/>
      <c r="L816" s="162"/>
      <c r="M816" s="162"/>
      <c r="N816" s="162"/>
      <c r="O816" s="162"/>
      <c r="P816" s="162"/>
      <c r="Q816" s="162"/>
    </row>
    <row r="817" spans="2:17" x14ac:dyDescent="0.25">
      <c r="B817" s="120"/>
      <c r="C817" s="120"/>
      <c r="D817" s="120"/>
      <c r="E817" s="162"/>
      <c r="F817" s="162"/>
      <c r="G817" s="162"/>
      <c r="H817" s="162"/>
      <c r="I817" s="162"/>
      <c r="J817" s="162"/>
      <c r="K817" s="162"/>
      <c r="L817" s="162"/>
      <c r="M817" s="162"/>
      <c r="N817" s="162"/>
      <c r="O817" s="162"/>
      <c r="P817" s="162"/>
      <c r="Q817" s="162"/>
    </row>
    <row r="818" spans="2:17" x14ac:dyDescent="0.25">
      <c r="B818" s="120"/>
      <c r="C818" s="120"/>
      <c r="D818" s="120"/>
      <c r="E818" s="162"/>
      <c r="F818" s="162"/>
      <c r="G818" s="162"/>
      <c r="H818" s="162"/>
      <c r="I818" s="162"/>
      <c r="J818" s="162"/>
      <c r="K818" s="162"/>
      <c r="L818" s="162"/>
      <c r="M818" s="162"/>
      <c r="N818" s="162"/>
      <c r="O818" s="162"/>
      <c r="P818" s="162"/>
      <c r="Q818" s="162"/>
    </row>
    <row r="819" spans="2:17" x14ac:dyDescent="0.25">
      <c r="B819" s="120"/>
      <c r="C819" s="120"/>
      <c r="D819" s="120"/>
      <c r="E819" s="162"/>
      <c r="F819" s="162"/>
      <c r="G819" s="162"/>
      <c r="H819" s="162"/>
      <c r="I819" s="162"/>
      <c r="J819" s="162"/>
      <c r="K819" s="162"/>
      <c r="L819" s="162"/>
      <c r="M819" s="162"/>
      <c r="N819" s="162"/>
      <c r="O819" s="162"/>
      <c r="P819" s="162"/>
      <c r="Q819" s="162"/>
    </row>
    <row r="820" spans="2:17" x14ac:dyDescent="0.25">
      <c r="B820" s="120"/>
      <c r="C820" s="120"/>
      <c r="D820" s="120"/>
      <c r="E820" s="162"/>
      <c r="F820" s="162"/>
      <c r="G820" s="162"/>
      <c r="H820" s="162"/>
      <c r="I820" s="162"/>
      <c r="J820" s="162"/>
      <c r="K820" s="162"/>
      <c r="L820" s="162"/>
      <c r="M820" s="162"/>
      <c r="N820" s="162"/>
      <c r="O820" s="162"/>
      <c r="P820" s="162"/>
      <c r="Q820" s="162"/>
    </row>
    <row r="821" spans="2:17" x14ac:dyDescent="0.25">
      <c r="B821" s="120"/>
      <c r="C821" s="120"/>
      <c r="D821" s="120"/>
      <c r="E821" s="162"/>
      <c r="F821" s="162"/>
      <c r="G821" s="162"/>
      <c r="H821" s="162"/>
      <c r="I821" s="162"/>
      <c r="J821" s="162"/>
      <c r="K821" s="162"/>
      <c r="L821" s="162"/>
      <c r="M821" s="162"/>
      <c r="N821" s="162"/>
      <c r="O821" s="162"/>
      <c r="P821" s="162"/>
      <c r="Q821" s="162"/>
    </row>
    <row r="822" spans="2:17" x14ac:dyDescent="0.25">
      <c r="B822" s="120"/>
      <c r="C822" s="120"/>
      <c r="D822" s="120"/>
      <c r="E822" s="162"/>
      <c r="F822" s="162"/>
      <c r="G822" s="162"/>
      <c r="H822" s="162"/>
      <c r="I822" s="162"/>
      <c r="J822" s="162"/>
      <c r="K822" s="162"/>
      <c r="L822" s="162"/>
      <c r="M822" s="162"/>
      <c r="N822" s="162"/>
      <c r="O822" s="162"/>
      <c r="P822" s="162"/>
      <c r="Q822" s="162"/>
    </row>
    <row r="823" spans="2:17" x14ac:dyDescent="0.25">
      <c r="B823" s="120"/>
      <c r="C823" s="120"/>
      <c r="D823" s="120"/>
      <c r="E823" s="162"/>
      <c r="F823" s="162"/>
      <c r="G823" s="162"/>
      <c r="H823" s="162"/>
      <c r="I823" s="162"/>
      <c r="J823" s="162"/>
      <c r="K823" s="162"/>
      <c r="L823" s="162"/>
      <c r="M823" s="162"/>
      <c r="N823" s="162"/>
      <c r="O823" s="162"/>
      <c r="P823" s="162"/>
      <c r="Q823" s="162"/>
    </row>
    <row r="824" spans="2:17" x14ac:dyDescent="0.25">
      <c r="B824" s="120"/>
      <c r="C824" s="120"/>
      <c r="D824" s="120"/>
      <c r="E824" s="162"/>
      <c r="F824" s="162"/>
      <c r="G824" s="162"/>
      <c r="H824" s="162"/>
      <c r="I824" s="162"/>
      <c r="J824" s="162"/>
      <c r="K824" s="162"/>
      <c r="L824" s="162"/>
      <c r="M824" s="162"/>
      <c r="N824" s="162"/>
      <c r="O824" s="162"/>
      <c r="P824" s="162"/>
      <c r="Q824" s="162"/>
    </row>
    <row r="825" spans="2:17" x14ac:dyDescent="0.25">
      <c r="B825" s="120"/>
      <c r="C825" s="120"/>
      <c r="D825" s="120"/>
      <c r="E825" s="162"/>
      <c r="F825" s="162"/>
      <c r="G825" s="162"/>
      <c r="H825" s="162"/>
      <c r="I825" s="162"/>
      <c r="J825" s="162"/>
      <c r="K825" s="162"/>
      <c r="L825" s="162"/>
      <c r="M825" s="162"/>
      <c r="N825" s="162"/>
      <c r="O825" s="162"/>
      <c r="P825" s="162"/>
      <c r="Q825" s="162"/>
    </row>
    <row r="826" spans="2:17" x14ac:dyDescent="0.25">
      <c r="B826" s="120"/>
      <c r="C826" s="120"/>
      <c r="D826" s="120"/>
      <c r="E826" s="162"/>
      <c r="F826" s="162"/>
      <c r="G826" s="162"/>
      <c r="H826" s="162"/>
      <c r="I826" s="162"/>
      <c r="J826" s="162"/>
      <c r="K826" s="162"/>
      <c r="L826" s="162"/>
      <c r="M826" s="162"/>
      <c r="N826" s="162"/>
      <c r="O826" s="162"/>
      <c r="P826" s="162"/>
      <c r="Q826" s="162"/>
    </row>
    <row r="827" spans="2:17" x14ac:dyDescent="0.25">
      <c r="B827" s="120"/>
      <c r="C827" s="120"/>
      <c r="D827" s="120"/>
      <c r="E827" s="162"/>
      <c r="F827" s="162"/>
      <c r="G827" s="162"/>
      <c r="H827" s="162"/>
      <c r="I827" s="162"/>
      <c r="J827" s="162"/>
      <c r="K827" s="162"/>
      <c r="L827" s="162"/>
      <c r="M827" s="162"/>
      <c r="N827" s="162"/>
      <c r="O827" s="162"/>
      <c r="P827" s="162"/>
      <c r="Q827" s="162"/>
    </row>
    <row r="828" spans="2:17" x14ac:dyDescent="0.25">
      <c r="B828" s="120"/>
      <c r="C828" s="120"/>
      <c r="D828" s="120"/>
      <c r="E828" s="162"/>
      <c r="F828" s="162"/>
      <c r="G828" s="162"/>
      <c r="H828" s="162"/>
      <c r="I828" s="162"/>
      <c r="J828" s="162"/>
      <c r="K828" s="162"/>
      <c r="L828" s="162"/>
      <c r="M828" s="162"/>
      <c r="N828" s="162"/>
      <c r="O828" s="162"/>
      <c r="P828" s="162"/>
      <c r="Q828" s="162"/>
    </row>
    <row r="829" spans="2:17" x14ac:dyDescent="0.25">
      <c r="B829" s="120"/>
      <c r="C829" s="120"/>
      <c r="D829" s="120"/>
      <c r="E829" s="162"/>
      <c r="F829" s="162"/>
      <c r="G829" s="162"/>
      <c r="H829" s="162"/>
      <c r="I829" s="162"/>
      <c r="J829" s="162"/>
      <c r="K829" s="162"/>
      <c r="L829" s="162"/>
      <c r="M829" s="162"/>
      <c r="N829" s="162"/>
      <c r="O829" s="162"/>
      <c r="P829" s="162"/>
      <c r="Q829" s="162"/>
    </row>
    <row r="830" spans="2:17" x14ac:dyDescent="0.25">
      <c r="B830" s="120"/>
      <c r="C830" s="120"/>
      <c r="D830" s="120"/>
      <c r="E830" s="162"/>
      <c r="F830" s="162"/>
      <c r="G830" s="162"/>
      <c r="H830" s="162"/>
      <c r="I830" s="162"/>
      <c r="J830" s="162"/>
      <c r="K830" s="162"/>
      <c r="L830" s="162"/>
      <c r="M830" s="162"/>
      <c r="N830" s="162"/>
      <c r="O830" s="162"/>
      <c r="P830" s="162"/>
      <c r="Q830" s="162"/>
    </row>
    <row r="831" spans="2:17" x14ac:dyDescent="0.25">
      <c r="B831" s="120"/>
      <c r="C831" s="120"/>
      <c r="D831" s="120"/>
      <c r="E831" s="162"/>
      <c r="F831" s="162"/>
      <c r="G831" s="162"/>
      <c r="H831" s="162"/>
      <c r="I831" s="162"/>
      <c r="J831" s="162"/>
      <c r="K831" s="162"/>
      <c r="L831" s="162"/>
      <c r="M831" s="162"/>
      <c r="N831" s="162"/>
      <c r="O831" s="162"/>
      <c r="P831" s="162"/>
      <c r="Q831" s="162"/>
    </row>
    <row r="832" spans="2:17" x14ac:dyDescent="0.25">
      <c r="B832" s="120"/>
      <c r="C832" s="120"/>
      <c r="D832" s="120"/>
      <c r="E832" s="162"/>
      <c r="F832" s="162"/>
      <c r="G832" s="162"/>
      <c r="H832" s="162"/>
      <c r="I832" s="162"/>
      <c r="J832" s="162"/>
      <c r="K832" s="162"/>
      <c r="L832" s="162"/>
      <c r="M832" s="162"/>
      <c r="N832" s="162"/>
      <c r="O832" s="162"/>
      <c r="P832" s="162"/>
      <c r="Q832" s="162"/>
    </row>
    <row r="833" spans="2:17" x14ac:dyDescent="0.25">
      <c r="B833" s="120"/>
      <c r="C833" s="120"/>
      <c r="D833" s="120"/>
      <c r="E833" s="162"/>
      <c r="F833" s="162"/>
      <c r="G833" s="162"/>
      <c r="H833" s="162"/>
      <c r="I833" s="162"/>
      <c r="J833" s="162"/>
      <c r="K833" s="162"/>
      <c r="L833" s="162"/>
      <c r="M833" s="162"/>
      <c r="N833" s="162"/>
      <c r="O833" s="162"/>
      <c r="P833" s="162"/>
      <c r="Q833" s="162"/>
    </row>
    <row r="834" spans="2:17" x14ac:dyDescent="0.25">
      <c r="B834" s="120"/>
      <c r="C834" s="120"/>
      <c r="D834" s="120"/>
      <c r="E834" s="162"/>
      <c r="F834" s="162"/>
      <c r="G834" s="162"/>
      <c r="H834" s="162"/>
      <c r="I834" s="162"/>
      <c r="J834" s="162"/>
      <c r="K834" s="162"/>
      <c r="L834" s="162"/>
      <c r="M834" s="162"/>
      <c r="N834" s="162"/>
      <c r="O834" s="162"/>
      <c r="P834" s="162"/>
      <c r="Q834" s="162"/>
    </row>
    <row r="835" spans="2:17" x14ac:dyDescent="0.25">
      <c r="B835" s="120"/>
      <c r="C835" s="120"/>
      <c r="D835" s="120"/>
      <c r="E835" s="162"/>
      <c r="F835" s="162"/>
      <c r="G835" s="162"/>
      <c r="H835" s="162"/>
      <c r="I835" s="162"/>
      <c r="J835" s="162"/>
      <c r="K835" s="162"/>
      <c r="L835" s="162"/>
      <c r="M835" s="162"/>
      <c r="N835" s="162"/>
      <c r="O835" s="162"/>
      <c r="P835" s="162"/>
      <c r="Q835" s="162"/>
    </row>
    <row r="836" spans="2:17" x14ac:dyDescent="0.25">
      <c r="B836" s="120"/>
      <c r="C836" s="120"/>
      <c r="D836" s="120"/>
      <c r="E836" s="162"/>
      <c r="F836" s="162"/>
      <c r="G836" s="162"/>
      <c r="H836" s="162"/>
      <c r="I836" s="162"/>
      <c r="J836" s="162"/>
      <c r="K836" s="162"/>
      <c r="L836" s="162"/>
      <c r="M836" s="162"/>
      <c r="N836" s="162"/>
      <c r="O836" s="162"/>
      <c r="P836" s="162"/>
      <c r="Q836" s="162"/>
    </row>
    <row r="837" spans="2:17" x14ac:dyDescent="0.25">
      <c r="B837" s="120"/>
      <c r="C837" s="120"/>
      <c r="D837" s="120"/>
      <c r="E837" s="162"/>
      <c r="F837" s="162"/>
      <c r="G837" s="162"/>
      <c r="H837" s="162"/>
      <c r="I837" s="162"/>
      <c r="J837" s="162"/>
      <c r="K837" s="162"/>
      <c r="L837" s="162"/>
      <c r="M837" s="162"/>
      <c r="N837" s="162"/>
      <c r="O837" s="162"/>
      <c r="P837" s="162"/>
      <c r="Q837" s="162"/>
    </row>
    <row r="838" spans="2:17" x14ac:dyDescent="0.25">
      <c r="B838" s="120"/>
      <c r="C838" s="120"/>
      <c r="D838" s="120"/>
      <c r="E838" s="162"/>
      <c r="F838" s="162"/>
      <c r="G838" s="162"/>
      <c r="H838" s="162"/>
      <c r="I838" s="162"/>
      <c r="J838" s="162"/>
      <c r="K838" s="162"/>
      <c r="L838" s="162"/>
      <c r="M838" s="162"/>
      <c r="N838" s="162"/>
      <c r="O838" s="162"/>
      <c r="P838" s="162"/>
      <c r="Q838" s="162"/>
    </row>
    <row r="839" spans="2:17" x14ac:dyDescent="0.25">
      <c r="B839" s="120"/>
      <c r="C839" s="120"/>
      <c r="D839" s="120"/>
      <c r="E839" s="162"/>
      <c r="F839" s="162"/>
      <c r="G839" s="162"/>
      <c r="H839" s="162"/>
      <c r="I839" s="162"/>
      <c r="J839" s="162"/>
      <c r="K839" s="162"/>
      <c r="L839" s="162"/>
      <c r="M839" s="162"/>
      <c r="N839" s="162"/>
      <c r="O839" s="162"/>
      <c r="P839" s="162"/>
      <c r="Q839" s="162"/>
    </row>
    <row r="840" spans="2:17" x14ac:dyDescent="0.25">
      <c r="B840" s="120"/>
      <c r="C840" s="120"/>
      <c r="D840" s="120"/>
      <c r="E840" s="162"/>
      <c r="F840" s="162"/>
      <c r="G840" s="162"/>
      <c r="H840" s="162"/>
      <c r="I840" s="162"/>
      <c r="J840" s="162"/>
      <c r="K840" s="162"/>
      <c r="L840" s="162"/>
      <c r="M840" s="162"/>
      <c r="N840" s="162"/>
      <c r="O840" s="162"/>
      <c r="P840" s="162"/>
      <c r="Q840" s="162"/>
    </row>
    <row r="841" spans="2:17" x14ac:dyDescent="0.25">
      <c r="B841" s="120"/>
      <c r="C841" s="120"/>
      <c r="D841" s="120"/>
      <c r="E841" s="162"/>
      <c r="F841" s="162"/>
      <c r="G841" s="162"/>
      <c r="H841" s="162"/>
      <c r="I841" s="162"/>
      <c r="J841" s="162"/>
      <c r="K841" s="162"/>
      <c r="L841" s="162"/>
      <c r="M841" s="162"/>
      <c r="N841" s="162"/>
      <c r="O841" s="162"/>
      <c r="P841" s="162"/>
      <c r="Q841" s="162"/>
    </row>
    <row r="842" spans="2:17" x14ac:dyDescent="0.25">
      <c r="B842" s="120"/>
      <c r="C842" s="120"/>
      <c r="D842" s="120"/>
      <c r="E842" s="162"/>
      <c r="F842" s="162"/>
      <c r="G842" s="162"/>
      <c r="H842" s="162"/>
      <c r="I842" s="162"/>
      <c r="J842" s="162"/>
      <c r="K842" s="162"/>
      <c r="L842" s="162"/>
      <c r="M842" s="162"/>
      <c r="N842" s="162"/>
      <c r="O842" s="162"/>
      <c r="P842" s="162"/>
      <c r="Q842" s="162"/>
    </row>
    <row r="843" spans="2:17" x14ac:dyDescent="0.25">
      <c r="B843" s="120"/>
      <c r="C843" s="120"/>
      <c r="D843" s="120"/>
      <c r="E843" s="162"/>
      <c r="F843" s="162"/>
      <c r="G843" s="162"/>
      <c r="H843" s="162"/>
      <c r="I843" s="162"/>
      <c r="J843" s="162"/>
      <c r="K843" s="162"/>
      <c r="L843" s="162"/>
      <c r="M843" s="162"/>
      <c r="N843" s="162"/>
      <c r="O843" s="162"/>
      <c r="P843" s="162"/>
      <c r="Q843" s="162"/>
    </row>
    <row r="844" spans="2:17" x14ac:dyDescent="0.25">
      <c r="B844" s="120"/>
      <c r="C844" s="120"/>
      <c r="D844" s="120"/>
      <c r="E844" s="162"/>
      <c r="F844" s="162"/>
      <c r="G844" s="162"/>
      <c r="H844" s="162"/>
      <c r="I844" s="162"/>
      <c r="J844" s="162"/>
      <c r="K844" s="162"/>
      <c r="L844" s="162"/>
      <c r="M844" s="162"/>
      <c r="N844" s="162"/>
      <c r="O844" s="162"/>
      <c r="P844" s="162"/>
      <c r="Q844" s="162"/>
    </row>
    <row r="845" spans="2:17" x14ac:dyDescent="0.25">
      <c r="B845" s="120"/>
      <c r="C845" s="120"/>
      <c r="D845" s="120"/>
      <c r="E845" s="162"/>
      <c r="F845" s="162"/>
      <c r="G845" s="162"/>
      <c r="H845" s="162"/>
      <c r="I845" s="162"/>
      <c r="J845" s="162"/>
      <c r="K845" s="162"/>
      <c r="L845" s="162"/>
      <c r="M845" s="162"/>
      <c r="N845" s="162"/>
      <c r="O845" s="162"/>
      <c r="P845" s="162"/>
      <c r="Q845" s="162"/>
    </row>
    <row r="846" spans="2:17" x14ac:dyDescent="0.25">
      <c r="B846" s="120"/>
      <c r="C846" s="120"/>
      <c r="D846" s="120"/>
      <c r="E846" s="162"/>
      <c r="F846" s="162"/>
      <c r="G846" s="162"/>
      <c r="H846" s="162"/>
      <c r="I846" s="162"/>
      <c r="J846" s="162"/>
      <c r="K846" s="162"/>
      <c r="L846" s="162"/>
      <c r="M846" s="162"/>
      <c r="N846" s="162"/>
      <c r="O846" s="162"/>
      <c r="P846" s="162"/>
      <c r="Q846" s="162"/>
    </row>
    <row r="847" spans="2:17" x14ac:dyDescent="0.25">
      <c r="B847" s="120"/>
      <c r="C847" s="120"/>
      <c r="D847" s="120"/>
      <c r="E847" s="162"/>
      <c r="F847" s="162"/>
      <c r="G847" s="162"/>
      <c r="H847" s="162"/>
      <c r="I847" s="162"/>
      <c r="J847" s="162"/>
      <c r="K847" s="162"/>
      <c r="L847" s="162"/>
      <c r="M847" s="162"/>
      <c r="N847" s="162"/>
      <c r="O847" s="162"/>
      <c r="P847" s="162"/>
      <c r="Q847" s="162"/>
    </row>
    <row r="848" spans="2:17" x14ac:dyDescent="0.25">
      <c r="B848" s="120"/>
      <c r="C848" s="120"/>
      <c r="D848" s="120"/>
      <c r="E848" s="162"/>
      <c r="F848" s="162"/>
      <c r="G848" s="162"/>
      <c r="H848" s="162"/>
      <c r="I848" s="162"/>
      <c r="J848" s="162"/>
      <c r="K848" s="162"/>
      <c r="L848" s="162"/>
      <c r="M848" s="162"/>
      <c r="N848" s="162"/>
      <c r="O848" s="162"/>
      <c r="P848" s="162"/>
      <c r="Q848" s="162"/>
    </row>
    <row r="849" spans="2:17" x14ac:dyDescent="0.25">
      <c r="B849" s="120"/>
      <c r="C849" s="120"/>
      <c r="D849" s="120"/>
      <c r="E849" s="162"/>
      <c r="F849" s="162"/>
      <c r="G849" s="162"/>
      <c r="H849" s="162"/>
      <c r="I849" s="162"/>
      <c r="J849" s="162"/>
      <c r="K849" s="162"/>
      <c r="L849" s="162"/>
      <c r="M849" s="162"/>
      <c r="N849" s="162"/>
      <c r="O849" s="162"/>
      <c r="P849" s="162"/>
      <c r="Q849" s="162"/>
    </row>
    <row r="850" spans="2:17" x14ac:dyDescent="0.25">
      <c r="B850" s="120"/>
      <c r="C850" s="120"/>
      <c r="D850" s="120"/>
      <c r="E850" s="162"/>
      <c r="F850" s="162"/>
      <c r="G850" s="162"/>
      <c r="H850" s="162"/>
      <c r="I850" s="162"/>
      <c r="J850" s="162"/>
      <c r="K850" s="162"/>
      <c r="L850" s="162"/>
      <c r="M850" s="162"/>
      <c r="N850" s="162"/>
      <c r="O850" s="162"/>
      <c r="P850" s="162"/>
      <c r="Q850" s="162"/>
    </row>
    <row r="851" spans="2:17" x14ac:dyDescent="0.25">
      <c r="B851" s="120"/>
      <c r="C851" s="120"/>
      <c r="D851" s="120"/>
      <c r="E851" s="162"/>
      <c r="F851" s="162"/>
      <c r="G851" s="162"/>
      <c r="H851" s="162"/>
      <c r="I851" s="162"/>
      <c r="J851" s="162"/>
      <c r="K851" s="162"/>
      <c r="L851" s="162"/>
      <c r="M851" s="162"/>
      <c r="N851" s="162"/>
      <c r="O851" s="162"/>
      <c r="P851" s="162"/>
      <c r="Q851" s="162"/>
    </row>
    <row r="852" spans="2:17" x14ac:dyDescent="0.25">
      <c r="B852" s="120"/>
      <c r="C852" s="120"/>
      <c r="D852" s="120"/>
      <c r="E852" s="162"/>
      <c r="F852" s="162"/>
      <c r="G852" s="162"/>
      <c r="H852" s="162"/>
      <c r="I852" s="162"/>
      <c r="J852" s="162"/>
      <c r="K852" s="162"/>
      <c r="L852" s="162"/>
      <c r="M852" s="162"/>
      <c r="N852" s="162"/>
      <c r="O852" s="162"/>
      <c r="P852" s="162"/>
      <c r="Q852" s="162"/>
    </row>
    <row r="853" spans="2:17" x14ac:dyDescent="0.25">
      <c r="B853" s="120"/>
      <c r="C853" s="120"/>
      <c r="D853" s="120"/>
      <c r="E853" s="162"/>
      <c r="F853" s="162"/>
      <c r="G853" s="162"/>
      <c r="H853" s="162"/>
      <c r="I853" s="162"/>
      <c r="J853" s="162"/>
      <c r="K853" s="162"/>
      <c r="L853" s="162"/>
      <c r="M853" s="162"/>
      <c r="N853" s="162"/>
      <c r="O853" s="162"/>
      <c r="P853" s="162"/>
      <c r="Q853" s="162"/>
    </row>
    <row r="854" spans="2:17" x14ac:dyDescent="0.25">
      <c r="B854" s="120"/>
      <c r="C854" s="120"/>
      <c r="D854" s="120"/>
      <c r="E854" s="162"/>
      <c r="F854" s="162"/>
      <c r="G854" s="162"/>
      <c r="H854" s="162"/>
      <c r="I854" s="162"/>
      <c r="J854" s="162"/>
      <c r="K854" s="162"/>
      <c r="L854" s="162"/>
      <c r="M854" s="162"/>
      <c r="N854" s="162"/>
      <c r="O854" s="162"/>
      <c r="P854" s="162"/>
      <c r="Q854" s="162"/>
    </row>
    <row r="855" spans="2:17" x14ac:dyDescent="0.25">
      <c r="B855" s="120"/>
      <c r="C855" s="120"/>
      <c r="D855" s="120"/>
      <c r="E855" s="162"/>
      <c r="F855" s="162"/>
      <c r="G855" s="162"/>
      <c r="H855" s="162"/>
      <c r="I855" s="162"/>
      <c r="J855" s="162"/>
      <c r="K855" s="162"/>
      <c r="L855" s="162"/>
      <c r="M855" s="162"/>
      <c r="N855" s="162"/>
      <c r="O855" s="162"/>
      <c r="P855" s="162"/>
      <c r="Q855" s="162"/>
    </row>
    <row r="856" spans="2:17" x14ac:dyDescent="0.25">
      <c r="B856" s="120"/>
      <c r="C856" s="120"/>
      <c r="D856" s="120"/>
      <c r="E856" s="162"/>
      <c r="F856" s="162"/>
      <c r="G856" s="162"/>
      <c r="H856" s="162"/>
      <c r="I856" s="162"/>
      <c r="J856" s="162"/>
      <c r="K856" s="162"/>
      <c r="L856" s="162"/>
      <c r="M856" s="162"/>
      <c r="N856" s="162"/>
      <c r="O856" s="162"/>
      <c r="P856" s="162"/>
      <c r="Q856" s="162"/>
    </row>
    <row r="857" spans="2:17" x14ac:dyDescent="0.25">
      <c r="B857" s="120"/>
      <c r="C857" s="120"/>
      <c r="D857" s="120"/>
      <c r="E857" s="162"/>
      <c r="F857" s="162"/>
      <c r="G857" s="162"/>
      <c r="H857" s="162"/>
      <c r="I857" s="162"/>
      <c r="J857" s="162"/>
      <c r="K857" s="162"/>
      <c r="L857" s="162"/>
      <c r="M857" s="162"/>
      <c r="N857" s="162"/>
      <c r="O857" s="162"/>
      <c r="P857" s="162"/>
      <c r="Q857" s="162"/>
    </row>
    <row r="858" spans="2:17" x14ac:dyDescent="0.25">
      <c r="B858" s="120"/>
      <c r="C858" s="120"/>
      <c r="D858" s="120"/>
      <c r="E858" s="162"/>
      <c r="F858" s="162"/>
      <c r="G858" s="162"/>
      <c r="H858" s="162"/>
      <c r="I858" s="162"/>
      <c r="J858" s="162"/>
      <c r="K858" s="162"/>
      <c r="L858" s="162"/>
      <c r="M858" s="162"/>
      <c r="N858" s="162"/>
      <c r="O858" s="162"/>
      <c r="P858" s="162"/>
      <c r="Q858" s="162"/>
    </row>
    <row r="859" spans="2:17" x14ac:dyDescent="0.25">
      <c r="B859" s="120"/>
      <c r="C859" s="120"/>
      <c r="D859" s="120"/>
      <c r="E859" s="162"/>
      <c r="F859" s="162"/>
      <c r="G859" s="162"/>
      <c r="H859" s="162"/>
      <c r="I859" s="162"/>
      <c r="J859" s="162"/>
      <c r="K859" s="162"/>
      <c r="L859" s="162"/>
      <c r="M859" s="162"/>
      <c r="N859" s="162"/>
      <c r="O859" s="162"/>
      <c r="P859" s="162"/>
      <c r="Q859" s="162"/>
    </row>
    <row r="860" spans="2:17" x14ac:dyDescent="0.25">
      <c r="B860" s="120"/>
      <c r="C860" s="120"/>
      <c r="D860" s="120"/>
      <c r="E860" s="162"/>
      <c r="F860" s="162"/>
      <c r="G860" s="162"/>
      <c r="H860" s="162"/>
      <c r="I860" s="162"/>
      <c r="J860" s="162"/>
      <c r="K860" s="162"/>
      <c r="L860" s="162"/>
      <c r="M860" s="162"/>
      <c r="N860" s="162"/>
      <c r="O860" s="162"/>
      <c r="P860" s="162"/>
      <c r="Q860" s="162"/>
    </row>
    <row r="861" spans="2:17" x14ac:dyDescent="0.25">
      <c r="B861" s="120"/>
      <c r="C861" s="120"/>
      <c r="D861" s="120"/>
      <c r="E861" s="162"/>
      <c r="F861" s="162"/>
      <c r="G861" s="162"/>
      <c r="H861" s="162"/>
      <c r="I861" s="162"/>
      <c r="J861" s="162"/>
      <c r="K861" s="162"/>
      <c r="L861" s="162"/>
      <c r="M861" s="162"/>
      <c r="N861" s="162"/>
      <c r="O861" s="162"/>
      <c r="P861" s="162"/>
      <c r="Q861" s="162"/>
    </row>
    <row r="862" spans="2:17" x14ac:dyDescent="0.25">
      <c r="B862" s="120"/>
      <c r="C862" s="120"/>
      <c r="D862" s="120"/>
      <c r="E862" s="162"/>
      <c r="F862" s="162"/>
      <c r="G862" s="162"/>
      <c r="H862" s="162"/>
      <c r="I862" s="162"/>
      <c r="J862" s="162"/>
      <c r="K862" s="162"/>
      <c r="L862" s="162"/>
      <c r="M862" s="162"/>
      <c r="N862" s="162"/>
      <c r="O862" s="162"/>
      <c r="P862" s="162"/>
      <c r="Q862" s="162"/>
    </row>
    <row r="863" spans="2:17" x14ac:dyDescent="0.25">
      <c r="B863" s="120"/>
      <c r="C863" s="120"/>
      <c r="D863" s="120"/>
      <c r="E863" s="162"/>
      <c r="F863" s="162"/>
      <c r="G863" s="162"/>
      <c r="H863" s="162"/>
      <c r="I863" s="162"/>
      <c r="J863" s="162"/>
      <c r="K863" s="162"/>
      <c r="L863" s="162"/>
      <c r="M863" s="162"/>
      <c r="N863" s="162"/>
      <c r="O863" s="162"/>
      <c r="P863" s="162"/>
      <c r="Q863" s="162"/>
    </row>
    <row r="864" spans="2:17" x14ac:dyDescent="0.25">
      <c r="B864" s="120"/>
      <c r="C864" s="120"/>
      <c r="D864" s="120"/>
      <c r="E864" s="162"/>
      <c r="F864" s="162"/>
      <c r="G864" s="162"/>
      <c r="H864" s="162"/>
      <c r="I864" s="162"/>
      <c r="J864" s="162"/>
      <c r="K864" s="162"/>
      <c r="L864" s="162"/>
      <c r="M864" s="162"/>
      <c r="N864" s="162"/>
      <c r="O864" s="162"/>
      <c r="P864" s="162"/>
      <c r="Q864" s="162"/>
    </row>
    <row r="865" spans="2:17" x14ac:dyDescent="0.25">
      <c r="B865" s="120"/>
      <c r="C865" s="120"/>
      <c r="D865" s="120"/>
      <c r="E865" s="162"/>
      <c r="F865" s="162"/>
      <c r="G865" s="162"/>
      <c r="H865" s="162"/>
      <c r="I865" s="162"/>
      <c r="J865" s="162"/>
      <c r="K865" s="162"/>
      <c r="L865" s="162"/>
      <c r="M865" s="162"/>
      <c r="N865" s="162"/>
      <c r="O865" s="162"/>
      <c r="P865" s="162"/>
      <c r="Q865" s="162"/>
    </row>
    <row r="866" spans="2:17" x14ac:dyDescent="0.25">
      <c r="B866" s="120"/>
      <c r="C866" s="120"/>
      <c r="D866" s="120"/>
      <c r="E866" s="162"/>
      <c r="F866" s="162"/>
      <c r="G866" s="162"/>
      <c r="H866" s="162"/>
      <c r="I866" s="162"/>
      <c r="J866" s="162"/>
      <c r="K866" s="162"/>
      <c r="L866" s="162"/>
      <c r="M866" s="162"/>
      <c r="N866" s="162"/>
      <c r="O866" s="162"/>
      <c r="P866" s="162"/>
      <c r="Q866" s="162"/>
    </row>
    <row r="867" spans="2:17" x14ac:dyDescent="0.25">
      <c r="B867" s="120"/>
      <c r="C867" s="120"/>
      <c r="D867" s="120"/>
      <c r="E867" s="162"/>
      <c r="F867" s="162"/>
      <c r="G867" s="162"/>
      <c r="H867" s="162"/>
      <c r="I867" s="162"/>
      <c r="J867" s="162"/>
      <c r="K867" s="162"/>
      <c r="L867" s="162"/>
      <c r="M867" s="162"/>
      <c r="N867" s="162"/>
      <c r="O867" s="162"/>
      <c r="P867" s="162"/>
      <c r="Q867" s="162"/>
    </row>
    <row r="868" spans="2:17" x14ac:dyDescent="0.25">
      <c r="B868" s="120"/>
      <c r="C868" s="120"/>
      <c r="D868" s="120"/>
      <c r="E868" s="162"/>
      <c r="F868" s="162"/>
      <c r="G868" s="162"/>
      <c r="H868" s="162"/>
      <c r="I868" s="162"/>
      <c r="J868" s="162"/>
      <c r="K868" s="162"/>
      <c r="L868" s="162"/>
      <c r="M868" s="162"/>
      <c r="N868" s="162"/>
      <c r="O868" s="162"/>
      <c r="P868" s="162"/>
      <c r="Q868" s="162"/>
    </row>
    <row r="869" spans="2:17" x14ac:dyDescent="0.25">
      <c r="B869" s="120"/>
      <c r="C869" s="120"/>
      <c r="D869" s="120"/>
      <c r="E869" s="162"/>
      <c r="F869" s="162"/>
      <c r="G869" s="162"/>
      <c r="H869" s="162"/>
      <c r="I869" s="162"/>
      <c r="J869" s="162"/>
      <c r="K869" s="162"/>
      <c r="L869" s="162"/>
      <c r="M869" s="162"/>
      <c r="N869" s="162"/>
      <c r="O869" s="162"/>
      <c r="P869" s="162"/>
      <c r="Q869" s="162"/>
    </row>
    <row r="870" spans="2:17" x14ac:dyDescent="0.25">
      <c r="B870" s="120"/>
      <c r="C870" s="120"/>
      <c r="D870" s="120"/>
      <c r="E870" s="162"/>
      <c r="F870" s="162"/>
      <c r="G870" s="162"/>
      <c r="H870" s="162"/>
      <c r="I870" s="162"/>
      <c r="J870" s="162"/>
      <c r="K870" s="162"/>
      <c r="L870" s="162"/>
      <c r="M870" s="162"/>
      <c r="N870" s="162"/>
      <c r="O870" s="162"/>
      <c r="P870" s="162"/>
      <c r="Q870" s="162"/>
    </row>
    <row r="871" spans="2:17" x14ac:dyDescent="0.25">
      <c r="B871" s="120"/>
      <c r="C871" s="120"/>
      <c r="D871" s="120"/>
      <c r="E871" s="162"/>
      <c r="F871" s="162"/>
      <c r="G871" s="162"/>
      <c r="H871" s="162"/>
      <c r="I871" s="162"/>
      <c r="J871" s="162"/>
      <c r="K871" s="162"/>
      <c r="L871" s="162"/>
      <c r="M871" s="162"/>
      <c r="N871" s="162"/>
      <c r="O871" s="162"/>
      <c r="P871" s="162"/>
      <c r="Q871" s="162"/>
    </row>
    <row r="872" spans="2:17" x14ac:dyDescent="0.25">
      <c r="B872" s="120"/>
      <c r="C872" s="120"/>
      <c r="D872" s="120"/>
      <c r="E872" s="162"/>
      <c r="F872" s="162"/>
      <c r="G872" s="162"/>
      <c r="H872" s="162"/>
      <c r="I872" s="162"/>
      <c r="J872" s="162"/>
      <c r="K872" s="162"/>
      <c r="L872" s="162"/>
      <c r="M872" s="162"/>
      <c r="N872" s="162"/>
      <c r="O872" s="162"/>
      <c r="P872" s="162"/>
      <c r="Q872" s="162"/>
    </row>
    <row r="873" spans="2:17" x14ac:dyDescent="0.25">
      <c r="B873" s="120"/>
      <c r="C873" s="120"/>
      <c r="D873" s="120"/>
      <c r="E873" s="162"/>
      <c r="F873" s="162"/>
      <c r="G873" s="162"/>
      <c r="H873" s="162"/>
      <c r="I873" s="162"/>
      <c r="J873" s="162"/>
      <c r="K873" s="162"/>
      <c r="L873" s="162"/>
      <c r="M873" s="162"/>
      <c r="N873" s="162"/>
      <c r="O873" s="162"/>
      <c r="P873" s="162"/>
      <c r="Q873" s="162"/>
    </row>
    <row r="874" spans="2:17" x14ac:dyDescent="0.25">
      <c r="B874" s="120"/>
      <c r="C874" s="120"/>
      <c r="D874" s="120"/>
      <c r="E874" s="162"/>
      <c r="F874" s="162"/>
      <c r="G874" s="162"/>
      <c r="H874" s="162"/>
      <c r="I874" s="162"/>
      <c r="J874" s="162"/>
      <c r="K874" s="162"/>
      <c r="L874" s="162"/>
      <c r="M874" s="162"/>
      <c r="N874" s="162"/>
      <c r="O874" s="162"/>
      <c r="P874" s="162"/>
      <c r="Q874" s="162"/>
    </row>
    <row r="875" spans="2:17" x14ac:dyDescent="0.25">
      <c r="B875" s="120"/>
      <c r="C875" s="120"/>
      <c r="D875" s="120"/>
      <c r="E875" s="162"/>
      <c r="F875" s="162"/>
      <c r="G875" s="162"/>
      <c r="H875" s="162"/>
      <c r="I875" s="162"/>
      <c r="J875" s="162"/>
      <c r="K875" s="162"/>
      <c r="L875" s="162"/>
      <c r="M875" s="162"/>
      <c r="N875" s="162"/>
      <c r="O875" s="162"/>
      <c r="P875" s="162"/>
      <c r="Q875" s="162"/>
    </row>
    <row r="876" spans="2:17" x14ac:dyDescent="0.25">
      <c r="B876" s="120"/>
      <c r="C876" s="120"/>
      <c r="D876" s="120"/>
      <c r="E876" s="162"/>
      <c r="F876" s="162"/>
      <c r="G876" s="162"/>
      <c r="H876" s="162"/>
      <c r="I876" s="162"/>
      <c r="J876" s="162"/>
      <c r="K876" s="162"/>
      <c r="L876" s="162"/>
      <c r="M876" s="162"/>
      <c r="N876" s="162"/>
      <c r="O876" s="162"/>
      <c r="P876" s="162"/>
      <c r="Q876" s="162"/>
    </row>
    <row r="877" spans="2:17" x14ac:dyDescent="0.25">
      <c r="B877" s="120"/>
      <c r="C877" s="120"/>
      <c r="D877" s="120"/>
      <c r="E877" s="162"/>
      <c r="F877" s="162"/>
      <c r="G877" s="162"/>
      <c r="H877" s="162"/>
      <c r="I877" s="162"/>
      <c r="J877" s="162"/>
      <c r="K877" s="162"/>
      <c r="L877" s="162"/>
      <c r="M877" s="162"/>
      <c r="N877" s="162"/>
      <c r="O877" s="162"/>
      <c r="P877" s="162"/>
      <c r="Q877" s="162"/>
    </row>
    <row r="878" spans="2:17" x14ac:dyDescent="0.25">
      <c r="B878" s="120"/>
      <c r="C878" s="120"/>
      <c r="D878" s="120"/>
      <c r="E878" s="162"/>
      <c r="F878" s="162"/>
      <c r="G878" s="162"/>
      <c r="H878" s="162"/>
      <c r="I878" s="162"/>
      <c r="J878" s="162"/>
      <c r="K878" s="162"/>
      <c r="L878" s="162"/>
      <c r="M878" s="162"/>
      <c r="N878" s="162"/>
      <c r="O878" s="162"/>
      <c r="P878" s="162"/>
      <c r="Q878" s="162"/>
    </row>
    <row r="879" spans="2:17" x14ac:dyDescent="0.25">
      <c r="B879" s="120"/>
      <c r="C879" s="120"/>
      <c r="D879" s="120"/>
      <c r="E879" s="162"/>
      <c r="F879" s="162"/>
      <c r="G879" s="162"/>
      <c r="H879" s="162"/>
      <c r="I879" s="162"/>
      <c r="J879" s="162"/>
      <c r="K879" s="162"/>
      <c r="L879" s="162"/>
      <c r="M879" s="162"/>
      <c r="N879" s="162"/>
      <c r="O879" s="162"/>
      <c r="P879" s="162"/>
      <c r="Q879" s="162"/>
    </row>
    <row r="880" spans="2:17" x14ac:dyDescent="0.25">
      <c r="B880" s="120"/>
      <c r="C880" s="120"/>
      <c r="D880" s="120"/>
      <c r="E880" s="162"/>
      <c r="F880" s="162"/>
      <c r="G880" s="162"/>
      <c r="H880" s="162"/>
      <c r="I880" s="162"/>
      <c r="J880" s="162"/>
      <c r="K880" s="162"/>
      <c r="L880" s="162"/>
      <c r="M880" s="162"/>
      <c r="N880" s="162"/>
      <c r="O880" s="162"/>
      <c r="P880" s="162"/>
      <c r="Q880" s="162"/>
    </row>
    <row r="881" spans="2:17" x14ac:dyDescent="0.25">
      <c r="B881" s="120"/>
      <c r="C881" s="120"/>
      <c r="D881" s="120"/>
      <c r="E881" s="162"/>
      <c r="F881" s="162"/>
      <c r="G881" s="162"/>
      <c r="H881" s="162"/>
      <c r="I881" s="162"/>
      <c r="J881" s="162"/>
      <c r="K881" s="162"/>
      <c r="L881" s="162"/>
      <c r="M881" s="162"/>
      <c r="N881" s="162"/>
      <c r="O881" s="162"/>
      <c r="P881" s="162"/>
      <c r="Q881" s="162"/>
    </row>
    <row r="882" spans="2:17" x14ac:dyDescent="0.25">
      <c r="B882" s="120"/>
      <c r="C882" s="120"/>
      <c r="D882" s="120"/>
      <c r="E882" s="162"/>
      <c r="F882" s="162"/>
      <c r="G882" s="162"/>
      <c r="H882" s="162"/>
      <c r="I882" s="162"/>
      <c r="J882" s="162"/>
      <c r="K882" s="162"/>
      <c r="L882" s="162"/>
      <c r="M882" s="162"/>
      <c r="N882" s="162"/>
      <c r="O882" s="162"/>
      <c r="P882" s="162"/>
      <c r="Q882" s="162"/>
    </row>
    <row r="883" spans="2:17" x14ac:dyDescent="0.25">
      <c r="B883" s="120"/>
      <c r="C883" s="120"/>
      <c r="D883" s="120"/>
      <c r="E883" s="162"/>
      <c r="F883" s="162"/>
      <c r="G883" s="162"/>
      <c r="H883" s="162"/>
      <c r="I883" s="162"/>
      <c r="J883" s="162"/>
      <c r="K883" s="162"/>
      <c r="L883" s="162"/>
      <c r="M883" s="162"/>
      <c r="N883" s="162"/>
      <c r="O883" s="162"/>
      <c r="P883" s="162"/>
      <c r="Q883" s="162"/>
    </row>
    <row r="884" spans="2:17" x14ac:dyDescent="0.25">
      <c r="B884" s="120"/>
      <c r="C884" s="120"/>
      <c r="D884" s="120"/>
      <c r="E884" s="162"/>
      <c r="F884" s="162"/>
      <c r="G884" s="162"/>
      <c r="H884" s="162"/>
      <c r="I884" s="162"/>
      <c r="J884" s="162"/>
      <c r="K884" s="162"/>
      <c r="L884" s="162"/>
      <c r="M884" s="162"/>
      <c r="N884" s="162"/>
      <c r="O884" s="162"/>
      <c r="P884" s="162"/>
      <c r="Q884" s="162"/>
    </row>
    <row r="885" spans="2:17" x14ac:dyDescent="0.25">
      <c r="B885" s="120"/>
      <c r="C885" s="120"/>
      <c r="D885" s="120"/>
      <c r="E885" s="162"/>
      <c r="F885" s="162"/>
      <c r="G885" s="162"/>
      <c r="H885" s="162"/>
      <c r="I885" s="162"/>
      <c r="J885" s="162"/>
      <c r="K885" s="162"/>
      <c r="L885" s="162"/>
      <c r="M885" s="162"/>
      <c r="N885" s="162"/>
      <c r="O885" s="162"/>
      <c r="P885" s="162"/>
      <c r="Q885" s="162"/>
    </row>
    <row r="886" spans="2:17" x14ac:dyDescent="0.25">
      <c r="B886" s="120"/>
      <c r="C886" s="120"/>
      <c r="D886" s="120"/>
      <c r="E886" s="162"/>
      <c r="F886" s="162"/>
      <c r="G886" s="162"/>
      <c r="H886" s="162"/>
      <c r="I886" s="162"/>
      <c r="J886" s="162"/>
      <c r="K886" s="162"/>
      <c r="L886" s="162"/>
      <c r="M886" s="162"/>
      <c r="N886" s="162"/>
      <c r="O886" s="162"/>
      <c r="P886" s="162"/>
      <c r="Q886" s="162"/>
    </row>
    <row r="887" spans="2:17" x14ac:dyDescent="0.25">
      <c r="B887" s="120"/>
      <c r="C887" s="120"/>
      <c r="D887" s="120"/>
      <c r="E887" s="162"/>
      <c r="F887" s="162"/>
      <c r="G887" s="162"/>
      <c r="H887" s="162"/>
      <c r="I887" s="162"/>
      <c r="J887" s="162"/>
      <c r="K887" s="162"/>
      <c r="L887" s="162"/>
      <c r="M887" s="162"/>
      <c r="N887" s="162"/>
      <c r="O887" s="162"/>
      <c r="P887" s="162"/>
      <c r="Q887" s="162"/>
    </row>
    <row r="888" spans="2:17" x14ac:dyDescent="0.25">
      <c r="B888" s="120"/>
      <c r="C888" s="120"/>
      <c r="D888" s="120"/>
      <c r="E888" s="162"/>
      <c r="F888" s="162"/>
      <c r="G888" s="162"/>
      <c r="H888" s="162"/>
      <c r="I888" s="162"/>
      <c r="J888" s="162"/>
      <c r="K888" s="162"/>
      <c r="L888" s="162"/>
      <c r="M888" s="162"/>
      <c r="N888" s="162"/>
      <c r="O888" s="162"/>
      <c r="P888" s="162"/>
      <c r="Q888" s="162"/>
    </row>
    <row r="889" spans="2:17" x14ac:dyDescent="0.25">
      <c r="B889" s="120"/>
      <c r="C889" s="120"/>
      <c r="D889" s="120"/>
      <c r="E889" s="162"/>
      <c r="F889" s="162"/>
      <c r="G889" s="162"/>
      <c r="H889" s="162"/>
      <c r="I889" s="162"/>
      <c r="J889" s="162"/>
      <c r="K889" s="162"/>
      <c r="L889" s="162"/>
      <c r="M889" s="162"/>
      <c r="N889" s="162"/>
      <c r="O889" s="162"/>
      <c r="P889" s="162"/>
      <c r="Q889" s="162"/>
    </row>
    <row r="890" spans="2:17" x14ac:dyDescent="0.25">
      <c r="B890" s="120"/>
      <c r="C890" s="120"/>
      <c r="D890" s="120"/>
      <c r="E890" s="162"/>
      <c r="F890" s="162"/>
      <c r="G890" s="162"/>
      <c r="H890" s="162"/>
      <c r="I890" s="162"/>
      <c r="J890" s="162"/>
      <c r="K890" s="162"/>
      <c r="L890" s="162"/>
      <c r="M890" s="162"/>
      <c r="N890" s="162"/>
      <c r="O890" s="162"/>
      <c r="P890" s="162"/>
      <c r="Q890" s="162"/>
    </row>
    <row r="891" spans="2:17" x14ac:dyDescent="0.25">
      <c r="B891" s="120"/>
      <c r="C891" s="120"/>
      <c r="D891" s="120"/>
      <c r="E891" s="162"/>
      <c r="F891" s="162"/>
      <c r="G891" s="162"/>
      <c r="H891" s="162"/>
      <c r="I891" s="162"/>
      <c r="J891" s="162"/>
      <c r="K891" s="162"/>
      <c r="L891" s="162"/>
      <c r="M891" s="162"/>
      <c r="N891" s="162"/>
      <c r="O891" s="162"/>
      <c r="P891" s="162"/>
      <c r="Q891" s="162"/>
    </row>
    <row r="892" spans="2:17" x14ac:dyDescent="0.25">
      <c r="B892" s="120"/>
      <c r="C892" s="120"/>
      <c r="D892" s="120"/>
      <c r="E892" s="162"/>
      <c r="F892" s="162"/>
      <c r="G892" s="162"/>
      <c r="H892" s="162"/>
      <c r="I892" s="162"/>
      <c r="J892" s="162"/>
      <c r="K892" s="162"/>
      <c r="L892" s="162"/>
      <c r="M892" s="162"/>
      <c r="N892" s="162"/>
      <c r="O892" s="162"/>
      <c r="P892" s="162"/>
      <c r="Q892" s="162"/>
    </row>
    <row r="893" spans="2:17" x14ac:dyDescent="0.25">
      <c r="B893" s="120"/>
      <c r="C893" s="120"/>
      <c r="D893" s="120"/>
      <c r="E893" s="162"/>
      <c r="F893" s="162"/>
      <c r="G893" s="162"/>
      <c r="H893" s="162"/>
      <c r="I893" s="162"/>
      <c r="J893" s="162"/>
      <c r="K893" s="162"/>
      <c r="L893" s="162"/>
      <c r="M893" s="162"/>
      <c r="N893" s="162"/>
      <c r="O893" s="162"/>
      <c r="P893" s="162"/>
      <c r="Q893" s="162"/>
    </row>
    <row r="894" spans="2:17" x14ac:dyDescent="0.25">
      <c r="B894" s="120"/>
      <c r="C894" s="120"/>
      <c r="D894" s="120"/>
      <c r="E894" s="162"/>
      <c r="F894" s="162"/>
      <c r="G894" s="162"/>
      <c r="H894" s="162"/>
      <c r="I894" s="162"/>
      <c r="J894" s="162"/>
      <c r="K894" s="162"/>
      <c r="L894" s="162"/>
      <c r="M894" s="162"/>
      <c r="N894" s="162"/>
      <c r="O894" s="162"/>
      <c r="P894" s="162"/>
      <c r="Q894" s="162"/>
    </row>
    <row r="895" spans="2:17" x14ac:dyDescent="0.25">
      <c r="B895" s="120"/>
      <c r="C895" s="120"/>
      <c r="D895" s="120"/>
      <c r="E895" s="162"/>
      <c r="F895" s="162"/>
      <c r="G895" s="162"/>
      <c r="H895" s="162"/>
      <c r="I895" s="162"/>
      <c r="J895" s="162"/>
      <c r="K895" s="162"/>
      <c r="L895" s="162"/>
      <c r="M895" s="162"/>
      <c r="N895" s="162"/>
      <c r="O895" s="162"/>
      <c r="P895" s="162"/>
      <c r="Q895" s="162"/>
    </row>
    <row r="896" spans="2:17" x14ac:dyDescent="0.25">
      <c r="B896" s="120"/>
      <c r="C896" s="120"/>
      <c r="D896" s="120"/>
      <c r="E896" s="162"/>
      <c r="F896" s="162"/>
      <c r="G896" s="162"/>
      <c r="H896" s="162"/>
      <c r="I896" s="162"/>
      <c r="J896" s="162"/>
      <c r="K896" s="162"/>
      <c r="L896" s="162"/>
      <c r="M896" s="162"/>
      <c r="N896" s="162"/>
      <c r="O896" s="162"/>
      <c r="P896" s="162"/>
      <c r="Q896" s="162"/>
    </row>
    <row r="897" spans="2:17" x14ac:dyDescent="0.25">
      <c r="B897" s="120"/>
      <c r="C897" s="120"/>
      <c r="D897" s="120"/>
      <c r="E897" s="162"/>
      <c r="F897" s="162"/>
      <c r="G897" s="162"/>
      <c r="H897" s="162"/>
      <c r="I897" s="162"/>
      <c r="J897" s="162"/>
      <c r="K897" s="162"/>
      <c r="L897" s="162"/>
      <c r="M897" s="162"/>
      <c r="N897" s="162"/>
      <c r="O897" s="162"/>
      <c r="P897" s="162"/>
      <c r="Q897" s="162"/>
    </row>
    <row r="898" spans="2:17" x14ac:dyDescent="0.25">
      <c r="B898" s="120"/>
      <c r="C898" s="120"/>
      <c r="D898" s="120"/>
      <c r="E898" s="162"/>
      <c r="F898" s="162"/>
      <c r="G898" s="162"/>
      <c r="H898" s="162"/>
      <c r="I898" s="162"/>
      <c r="J898" s="162"/>
      <c r="K898" s="162"/>
      <c r="L898" s="162"/>
      <c r="M898" s="162"/>
      <c r="N898" s="162"/>
      <c r="O898" s="162"/>
      <c r="P898" s="162"/>
      <c r="Q898" s="162"/>
    </row>
    <row r="899" spans="2:17" x14ac:dyDescent="0.25">
      <c r="B899" s="120"/>
      <c r="C899" s="120"/>
      <c r="D899" s="120"/>
      <c r="E899" s="162"/>
      <c r="F899" s="162"/>
      <c r="G899" s="162"/>
      <c r="H899" s="162"/>
      <c r="I899" s="162"/>
      <c r="J899" s="162"/>
      <c r="K899" s="162"/>
      <c r="L899" s="162"/>
      <c r="M899" s="162"/>
      <c r="N899" s="162"/>
      <c r="O899" s="162"/>
      <c r="P899" s="162"/>
      <c r="Q899" s="162"/>
    </row>
    <row r="900" spans="2:17" x14ac:dyDescent="0.25">
      <c r="B900" s="120"/>
      <c r="C900" s="120"/>
      <c r="D900" s="120"/>
      <c r="E900" s="162"/>
      <c r="F900" s="162"/>
      <c r="G900" s="162"/>
      <c r="H900" s="162"/>
      <c r="I900" s="162"/>
      <c r="J900" s="162"/>
      <c r="K900" s="162"/>
      <c r="L900" s="162"/>
      <c r="M900" s="162"/>
      <c r="N900" s="162"/>
      <c r="O900" s="162"/>
      <c r="P900" s="162"/>
      <c r="Q900" s="162"/>
    </row>
    <row r="901" spans="2:17" x14ac:dyDescent="0.25">
      <c r="B901" s="120"/>
      <c r="C901" s="120"/>
      <c r="D901" s="120"/>
      <c r="E901" s="162"/>
      <c r="F901" s="162"/>
      <c r="G901" s="162"/>
      <c r="H901" s="162"/>
      <c r="I901" s="162"/>
      <c r="J901" s="162"/>
      <c r="K901" s="162"/>
      <c r="L901" s="162"/>
      <c r="M901" s="162"/>
      <c r="N901" s="162"/>
      <c r="O901" s="162"/>
      <c r="P901" s="162"/>
      <c r="Q901" s="162"/>
    </row>
    <row r="902" spans="2:17" x14ac:dyDescent="0.25">
      <c r="B902" s="120"/>
      <c r="C902" s="120"/>
      <c r="D902" s="120"/>
      <c r="E902" s="162"/>
      <c r="F902" s="162"/>
      <c r="G902" s="162"/>
      <c r="H902" s="162"/>
      <c r="I902" s="162"/>
      <c r="J902" s="162"/>
      <c r="K902" s="162"/>
      <c r="L902" s="162"/>
      <c r="M902" s="162"/>
      <c r="N902" s="162"/>
      <c r="O902" s="162"/>
      <c r="P902" s="162"/>
      <c r="Q902" s="162"/>
    </row>
    <row r="903" spans="2:17" x14ac:dyDescent="0.25">
      <c r="B903" s="120"/>
      <c r="C903" s="120"/>
      <c r="D903" s="120"/>
      <c r="E903" s="162"/>
      <c r="F903" s="162"/>
      <c r="G903" s="162"/>
      <c r="H903" s="162"/>
      <c r="I903" s="162"/>
      <c r="J903" s="162"/>
      <c r="K903" s="162"/>
      <c r="L903" s="162"/>
      <c r="M903" s="162"/>
      <c r="N903" s="162"/>
      <c r="O903" s="162"/>
      <c r="P903" s="162"/>
      <c r="Q903" s="162"/>
    </row>
    <row r="904" spans="2:17" x14ac:dyDescent="0.25">
      <c r="B904" s="120"/>
      <c r="C904" s="120"/>
      <c r="D904" s="120"/>
      <c r="E904" s="162"/>
      <c r="F904" s="162"/>
      <c r="G904" s="162"/>
      <c r="H904" s="162"/>
      <c r="I904" s="162"/>
      <c r="J904" s="162"/>
      <c r="K904" s="162"/>
      <c r="L904" s="162"/>
      <c r="M904" s="162"/>
      <c r="N904" s="162"/>
      <c r="O904" s="162"/>
      <c r="P904" s="162"/>
      <c r="Q904" s="162"/>
    </row>
    <row r="905" spans="2:17" x14ac:dyDescent="0.25">
      <c r="B905" s="120"/>
      <c r="C905" s="120"/>
      <c r="D905" s="120"/>
      <c r="E905" s="162"/>
      <c r="F905" s="162"/>
      <c r="G905" s="162"/>
      <c r="H905" s="162"/>
      <c r="I905" s="162"/>
      <c r="J905" s="162"/>
      <c r="K905" s="162"/>
      <c r="L905" s="162"/>
      <c r="M905" s="162"/>
      <c r="N905" s="162"/>
      <c r="O905" s="162"/>
      <c r="P905" s="162"/>
      <c r="Q905" s="162"/>
    </row>
    <row r="906" spans="2:17" x14ac:dyDescent="0.25">
      <c r="B906" s="120"/>
      <c r="C906" s="120"/>
      <c r="D906" s="120"/>
      <c r="E906" s="162"/>
      <c r="F906" s="162"/>
      <c r="G906" s="162"/>
      <c r="H906" s="162"/>
      <c r="I906" s="162"/>
      <c r="J906" s="162"/>
      <c r="K906" s="162"/>
      <c r="L906" s="162"/>
      <c r="M906" s="162"/>
      <c r="N906" s="162"/>
      <c r="O906" s="162"/>
      <c r="P906" s="162"/>
      <c r="Q906" s="162"/>
    </row>
    <row r="907" spans="2:17" x14ac:dyDescent="0.25">
      <c r="B907" s="120"/>
      <c r="C907" s="120"/>
      <c r="D907" s="120"/>
      <c r="E907" s="162"/>
      <c r="F907" s="162"/>
      <c r="G907" s="162"/>
      <c r="H907" s="162"/>
      <c r="I907" s="162"/>
      <c r="J907" s="162"/>
      <c r="K907" s="162"/>
      <c r="L907" s="162"/>
      <c r="M907" s="162"/>
      <c r="N907" s="162"/>
      <c r="O907" s="162"/>
      <c r="P907" s="162"/>
      <c r="Q907" s="162"/>
    </row>
    <row r="908" spans="2:17" x14ac:dyDescent="0.25">
      <c r="B908" s="120"/>
      <c r="C908" s="120"/>
      <c r="D908" s="120"/>
      <c r="E908" s="162"/>
      <c r="F908" s="162"/>
      <c r="G908" s="162"/>
      <c r="H908" s="162"/>
      <c r="I908" s="162"/>
      <c r="J908" s="162"/>
      <c r="K908" s="162"/>
      <c r="L908" s="162"/>
      <c r="M908" s="162"/>
      <c r="N908" s="162"/>
      <c r="O908" s="162"/>
      <c r="P908" s="162"/>
      <c r="Q908" s="162"/>
    </row>
    <row r="909" spans="2:17" x14ac:dyDescent="0.25">
      <c r="B909" s="120"/>
      <c r="C909" s="120"/>
      <c r="D909" s="120"/>
      <c r="E909" s="162"/>
      <c r="F909" s="162"/>
      <c r="G909" s="162"/>
      <c r="H909" s="162"/>
      <c r="I909" s="162"/>
      <c r="J909" s="162"/>
      <c r="K909" s="162"/>
      <c r="L909" s="162"/>
      <c r="M909" s="162"/>
      <c r="N909" s="162"/>
      <c r="O909" s="162"/>
      <c r="P909" s="162"/>
      <c r="Q909" s="162"/>
    </row>
    <row r="910" spans="2:17" x14ac:dyDescent="0.25">
      <c r="B910" s="120"/>
      <c r="C910" s="120"/>
      <c r="D910" s="120"/>
      <c r="E910" s="162"/>
      <c r="F910" s="162"/>
      <c r="G910" s="162"/>
      <c r="H910" s="162"/>
      <c r="I910" s="162"/>
      <c r="J910" s="162"/>
      <c r="K910" s="162"/>
      <c r="L910" s="162"/>
      <c r="M910" s="162"/>
      <c r="N910" s="162"/>
      <c r="O910" s="162"/>
      <c r="P910" s="162"/>
      <c r="Q910" s="162"/>
    </row>
    <row r="911" spans="2:17" x14ac:dyDescent="0.25">
      <c r="B911" s="120"/>
      <c r="C911" s="120"/>
      <c r="D911" s="120"/>
      <c r="E911" s="162"/>
      <c r="F911" s="162"/>
      <c r="G911" s="162"/>
      <c r="H911" s="162"/>
      <c r="I911" s="162"/>
      <c r="J911" s="162"/>
      <c r="K911" s="162"/>
      <c r="L911" s="162"/>
      <c r="M911" s="162"/>
      <c r="N911" s="162"/>
      <c r="O911" s="162"/>
      <c r="P911" s="162"/>
      <c r="Q911" s="162"/>
    </row>
    <row r="912" spans="2:17" x14ac:dyDescent="0.25">
      <c r="B912" s="120"/>
      <c r="C912" s="120"/>
      <c r="D912" s="120"/>
      <c r="E912" s="162"/>
      <c r="F912" s="162"/>
      <c r="G912" s="162"/>
      <c r="H912" s="162"/>
      <c r="I912" s="162"/>
      <c r="J912" s="162"/>
      <c r="K912" s="162"/>
      <c r="L912" s="162"/>
      <c r="M912" s="162"/>
      <c r="N912" s="162"/>
      <c r="O912" s="162"/>
      <c r="P912" s="162"/>
      <c r="Q912" s="162"/>
    </row>
    <row r="913" spans="2:17" x14ac:dyDescent="0.25">
      <c r="B913" s="120"/>
      <c r="C913" s="120"/>
      <c r="D913" s="120"/>
      <c r="E913" s="162"/>
      <c r="F913" s="162"/>
      <c r="G913" s="162"/>
      <c r="H913" s="162"/>
      <c r="I913" s="162"/>
      <c r="J913" s="162"/>
      <c r="K913" s="162"/>
      <c r="L913" s="162"/>
      <c r="M913" s="162"/>
      <c r="N913" s="162"/>
      <c r="O913" s="162"/>
      <c r="P913" s="162"/>
      <c r="Q913" s="162"/>
    </row>
    <row r="914" spans="2:17" x14ac:dyDescent="0.25">
      <c r="B914" s="120"/>
      <c r="C914" s="120"/>
      <c r="D914" s="120"/>
      <c r="E914" s="162"/>
      <c r="F914" s="162"/>
      <c r="G914" s="162"/>
      <c r="H914" s="162"/>
      <c r="I914" s="162"/>
      <c r="J914" s="162"/>
      <c r="K914" s="162"/>
      <c r="L914" s="162"/>
      <c r="M914" s="162"/>
      <c r="N914" s="162"/>
      <c r="O914" s="162"/>
      <c r="P914" s="162"/>
      <c r="Q914" s="162"/>
    </row>
    <row r="915" spans="2:17" x14ac:dyDescent="0.25">
      <c r="B915" s="120"/>
      <c r="C915" s="120"/>
      <c r="D915" s="120"/>
      <c r="E915" s="162"/>
      <c r="F915" s="162"/>
      <c r="G915" s="162"/>
      <c r="H915" s="162"/>
      <c r="I915" s="162"/>
      <c r="J915" s="162"/>
      <c r="K915" s="162"/>
      <c r="L915" s="162"/>
      <c r="M915" s="162"/>
      <c r="N915" s="162"/>
      <c r="O915" s="162"/>
      <c r="P915" s="162"/>
      <c r="Q915" s="162"/>
    </row>
    <row r="916" spans="2:17" x14ac:dyDescent="0.25">
      <c r="B916" s="120"/>
      <c r="C916" s="120"/>
      <c r="D916" s="120"/>
      <c r="E916" s="162"/>
      <c r="F916" s="162"/>
      <c r="G916" s="162"/>
      <c r="H916" s="162"/>
      <c r="I916" s="162"/>
      <c r="J916" s="162"/>
      <c r="K916" s="162"/>
      <c r="L916" s="162"/>
      <c r="M916" s="162"/>
      <c r="N916" s="162"/>
      <c r="O916" s="162"/>
      <c r="P916" s="162"/>
      <c r="Q916" s="162"/>
    </row>
    <row r="917" spans="2:17" x14ac:dyDescent="0.25">
      <c r="B917" s="120"/>
      <c r="C917" s="120"/>
      <c r="D917" s="120"/>
      <c r="E917" s="162"/>
      <c r="F917" s="162"/>
      <c r="G917" s="162"/>
      <c r="H917" s="162"/>
      <c r="I917" s="162"/>
      <c r="J917" s="162"/>
      <c r="K917" s="162"/>
      <c r="L917" s="162"/>
      <c r="M917" s="162"/>
      <c r="N917" s="162"/>
      <c r="O917" s="162"/>
      <c r="P917" s="162"/>
      <c r="Q917" s="162"/>
    </row>
    <row r="918" spans="2:17" x14ac:dyDescent="0.25">
      <c r="B918" s="120"/>
      <c r="C918" s="120"/>
      <c r="D918" s="120"/>
      <c r="E918" s="162"/>
      <c r="F918" s="162"/>
      <c r="G918" s="162"/>
      <c r="H918" s="162"/>
      <c r="I918" s="162"/>
      <c r="J918" s="162"/>
      <c r="K918" s="162"/>
      <c r="L918" s="162"/>
      <c r="M918" s="162"/>
      <c r="N918" s="162"/>
      <c r="O918" s="162"/>
      <c r="P918" s="162"/>
      <c r="Q918" s="162"/>
    </row>
    <row r="919" spans="2:17" x14ac:dyDescent="0.25">
      <c r="B919" s="120"/>
      <c r="C919" s="120"/>
      <c r="D919" s="120"/>
      <c r="E919" s="162"/>
      <c r="F919" s="162"/>
      <c r="G919" s="162"/>
      <c r="H919" s="162"/>
      <c r="I919" s="162"/>
      <c r="J919" s="162"/>
      <c r="K919" s="162"/>
      <c r="L919" s="162"/>
      <c r="M919" s="162"/>
      <c r="N919" s="162"/>
      <c r="O919" s="162"/>
      <c r="P919" s="162"/>
      <c r="Q919" s="162"/>
    </row>
    <row r="920" spans="2:17" x14ac:dyDescent="0.25">
      <c r="B920" s="120"/>
      <c r="C920" s="120"/>
      <c r="D920" s="120"/>
      <c r="E920" s="162"/>
      <c r="F920" s="162"/>
      <c r="G920" s="162"/>
      <c r="H920" s="162"/>
      <c r="I920" s="162"/>
      <c r="J920" s="162"/>
      <c r="K920" s="162"/>
      <c r="L920" s="162"/>
      <c r="M920" s="162"/>
      <c r="N920" s="162"/>
      <c r="O920" s="162"/>
      <c r="P920" s="162"/>
      <c r="Q920" s="162"/>
    </row>
    <row r="921" spans="2:17" x14ac:dyDescent="0.25">
      <c r="B921" s="120"/>
      <c r="C921" s="120"/>
      <c r="D921" s="120"/>
      <c r="E921" s="162"/>
      <c r="F921" s="162"/>
      <c r="G921" s="162"/>
      <c r="H921" s="162"/>
      <c r="I921" s="162"/>
      <c r="J921" s="162"/>
      <c r="K921" s="162"/>
      <c r="L921" s="162"/>
      <c r="M921" s="162"/>
      <c r="N921" s="162"/>
      <c r="O921" s="162"/>
      <c r="P921" s="162"/>
      <c r="Q921" s="162"/>
    </row>
    <row r="922" spans="2:17" x14ac:dyDescent="0.25">
      <c r="B922" s="120"/>
      <c r="C922" s="120"/>
      <c r="D922" s="120"/>
      <c r="E922" s="162"/>
      <c r="F922" s="162"/>
      <c r="G922" s="162"/>
      <c r="H922" s="162"/>
      <c r="I922" s="162"/>
      <c r="J922" s="162"/>
      <c r="K922" s="162"/>
      <c r="L922" s="162"/>
      <c r="M922" s="162"/>
      <c r="N922" s="162"/>
      <c r="O922" s="162"/>
      <c r="P922" s="162"/>
      <c r="Q922" s="162"/>
    </row>
    <row r="923" spans="2:17" x14ac:dyDescent="0.25">
      <c r="B923" s="120"/>
      <c r="C923" s="120"/>
      <c r="D923" s="120"/>
      <c r="E923" s="162"/>
      <c r="F923" s="162"/>
      <c r="G923" s="162"/>
      <c r="H923" s="162"/>
      <c r="I923" s="162"/>
      <c r="J923" s="162"/>
      <c r="K923" s="162"/>
      <c r="L923" s="162"/>
      <c r="M923" s="162"/>
      <c r="N923" s="162"/>
      <c r="O923" s="162"/>
      <c r="P923" s="162"/>
      <c r="Q923" s="162"/>
    </row>
    <row r="924" spans="2:17" x14ac:dyDescent="0.25">
      <c r="B924" s="120"/>
      <c r="C924" s="120"/>
      <c r="D924" s="120"/>
      <c r="E924" s="162"/>
      <c r="F924" s="162"/>
      <c r="G924" s="162"/>
      <c r="H924" s="162"/>
      <c r="I924" s="162"/>
      <c r="J924" s="162"/>
      <c r="K924" s="162"/>
      <c r="L924" s="162"/>
      <c r="M924" s="162"/>
      <c r="N924" s="162"/>
      <c r="O924" s="162"/>
      <c r="P924" s="162"/>
      <c r="Q924" s="162"/>
    </row>
    <row r="925" spans="2:17" x14ac:dyDescent="0.25">
      <c r="B925" s="120"/>
      <c r="C925" s="120"/>
      <c r="D925" s="120"/>
      <c r="E925" s="162"/>
      <c r="F925" s="162"/>
      <c r="G925" s="162"/>
      <c r="H925" s="162"/>
      <c r="I925" s="162"/>
      <c r="J925" s="162"/>
      <c r="K925" s="162"/>
      <c r="L925" s="162"/>
      <c r="M925" s="162"/>
      <c r="N925" s="162"/>
      <c r="O925" s="162"/>
      <c r="P925" s="162"/>
      <c r="Q925" s="162"/>
    </row>
    <row r="926" spans="2:17" x14ac:dyDescent="0.25">
      <c r="B926" s="120"/>
      <c r="C926" s="120"/>
      <c r="D926" s="120"/>
      <c r="E926" s="162"/>
      <c r="F926" s="162"/>
      <c r="G926" s="162"/>
      <c r="H926" s="162"/>
      <c r="I926" s="162"/>
      <c r="J926" s="162"/>
      <c r="K926" s="162"/>
      <c r="L926" s="162"/>
      <c r="M926" s="162"/>
      <c r="N926" s="162"/>
      <c r="O926" s="162"/>
      <c r="P926" s="162"/>
      <c r="Q926" s="162"/>
    </row>
    <row r="927" spans="2:17" x14ac:dyDescent="0.25">
      <c r="B927" s="120"/>
      <c r="C927" s="120"/>
      <c r="D927" s="120"/>
      <c r="E927" s="162"/>
      <c r="F927" s="162"/>
      <c r="G927" s="162"/>
      <c r="H927" s="162"/>
      <c r="I927" s="162"/>
      <c r="J927" s="162"/>
      <c r="K927" s="162"/>
      <c r="L927" s="162"/>
      <c r="M927" s="162"/>
      <c r="N927" s="162"/>
      <c r="O927" s="162"/>
      <c r="P927" s="162"/>
      <c r="Q927" s="162"/>
    </row>
    <row r="928" spans="2:17" x14ac:dyDescent="0.25">
      <c r="B928" s="120"/>
      <c r="C928" s="120"/>
      <c r="D928" s="120"/>
      <c r="E928" s="162"/>
      <c r="F928" s="162"/>
      <c r="G928" s="162"/>
      <c r="H928" s="162"/>
      <c r="I928" s="162"/>
      <c r="J928" s="162"/>
      <c r="K928" s="162"/>
      <c r="L928" s="162"/>
      <c r="M928" s="162"/>
      <c r="N928" s="162"/>
      <c r="O928" s="162"/>
      <c r="P928" s="162"/>
      <c r="Q928" s="162"/>
    </row>
    <row r="929" spans="2:17" x14ac:dyDescent="0.25">
      <c r="B929" s="120"/>
      <c r="C929" s="120"/>
      <c r="D929" s="120"/>
      <c r="E929" s="162"/>
      <c r="F929" s="162"/>
      <c r="G929" s="162"/>
      <c r="H929" s="162"/>
      <c r="I929" s="162"/>
      <c r="J929" s="162"/>
      <c r="K929" s="162"/>
      <c r="L929" s="162"/>
      <c r="M929" s="162"/>
      <c r="N929" s="162"/>
      <c r="O929" s="162"/>
      <c r="P929" s="162"/>
      <c r="Q929" s="162"/>
    </row>
    <row r="930" spans="2:17" x14ac:dyDescent="0.25">
      <c r="B930" s="120"/>
      <c r="C930" s="120"/>
      <c r="D930" s="120"/>
      <c r="E930" s="162"/>
      <c r="F930" s="162"/>
      <c r="G930" s="162"/>
      <c r="H930" s="162"/>
      <c r="I930" s="162"/>
      <c r="J930" s="162"/>
      <c r="K930" s="162"/>
      <c r="L930" s="162"/>
      <c r="M930" s="162"/>
      <c r="N930" s="162"/>
      <c r="O930" s="162"/>
      <c r="P930" s="162"/>
      <c r="Q930" s="162"/>
    </row>
    <row r="931" spans="2:17" x14ac:dyDescent="0.25">
      <c r="B931" s="120"/>
      <c r="C931" s="120"/>
      <c r="D931" s="120"/>
      <c r="E931" s="162"/>
      <c r="F931" s="162"/>
      <c r="G931" s="162"/>
      <c r="H931" s="162"/>
      <c r="I931" s="162"/>
      <c r="J931" s="162"/>
      <c r="K931" s="162"/>
      <c r="L931" s="162"/>
      <c r="M931" s="162"/>
      <c r="N931" s="162"/>
      <c r="O931" s="162"/>
      <c r="P931" s="162"/>
      <c r="Q931" s="162"/>
    </row>
    <row r="932" spans="2:17" x14ac:dyDescent="0.25">
      <c r="B932" s="120"/>
      <c r="C932" s="120"/>
      <c r="D932" s="120"/>
      <c r="E932" s="162"/>
      <c r="F932" s="162"/>
      <c r="G932" s="162"/>
      <c r="H932" s="162"/>
      <c r="I932" s="162"/>
      <c r="J932" s="162"/>
      <c r="K932" s="162"/>
      <c r="L932" s="162"/>
      <c r="M932" s="162"/>
      <c r="N932" s="162"/>
      <c r="O932" s="162"/>
      <c r="P932" s="162"/>
      <c r="Q932" s="162"/>
    </row>
    <row r="933" spans="2:17" x14ac:dyDescent="0.25">
      <c r="B933" s="120"/>
      <c r="C933" s="120"/>
      <c r="D933" s="120"/>
      <c r="E933" s="162"/>
      <c r="F933" s="162"/>
      <c r="G933" s="162"/>
      <c r="H933" s="162"/>
      <c r="I933" s="162"/>
      <c r="J933" s="162"/>
      <c r="K933" s="162"/>
      <c r="L933" s="162"/>
      <c r="M933" s="162"/>
      <c r="N933" s="162"/>
      <c r="O933" s="162"/>
      <c r="P933" s="162"/>
      <c r="Q933" s="162"/>
    </row>
    <row r="934" spans="2:17" x14ac:dyDescent="0.25">
      <c r="B934" s="120"/>
      <c r="C934" s="120"/>
      <c r="D934" s="120"/>
      <c r="E934" s="162"/>
      <c r="F934" s="162"/>
      <c r="G934" s="162"/>
      <c r="H934" s="162"/>
      <c r="I934" s="162"/>
      <c r="J934" s="162"/>
      <c r="K934" s="162"/>
      <c r="L934" s="162"/>
      <c r="M934" s="162"/>
      <c r="N934" s="162"/>
      <c r="O934" s="162"/>
      <c r="P934" s="162"/>
      <c r="Q934" s="162"/>
    </row>
    <row r="935" spans="2:17" x14ac:dyDescent="0.25">
      <c r="B935" s="120"/>
      <c r="C935" s="120"/>
      <c r="D935" s="120"/>
      <c r="E935" s="162"/>
      <c r="F935" s="162"/>
      <c r="G935" s="162"/>
      <c r="H935" s="162"/>
      <c r="I935" s="162"/>
      <c r="J935" s="162"/>
      <c r="K935" s="162"/>
      <c r="L935" s="162"/>
      <c r="M935" s="162"/>
      <c r="N935" s="162"/>
      <c r="O935" s="162"/>
      <c r="P935" s="162"/>
      <c r="Q935" s="162"/>
    </row>
    <row r="936" spans="2:17" x14ac:dyDescent="0.25">
      <c r="B936" s="120"/>
      <c r="C936" s="120"/>
      <c r="D936" s="120"/>
      <c r="E936" s="162"/>
      <c r="F936" s="162"/>
      <c r="G936" s="162"/>
      <c r="H936" s="162"/>
      <c r="I936" s="162"/>
      <c r="J936" s="162"/>
      <c r="K936" s="162"/>
      <c r="L936" s="162"/>
      <c r="M936" s="162"/>
      <c r="N936" s="162"/>
      <c r="O936" s="162"/>
      <c r="P936" s="162"/>
      <c r="Q936" s="162"/>
    </row>
    <row r="937" spans="2:17" x14ac:dyDescent="0.25">
      <c r="B937" s="120"/>
      <c r="C937" s="120"/>
      <c r="D937" s="120"/>
      <c r="E937" s="162"/>
      <c r="F937" s="162"/>
      <c r="G937" s="162"/>
      <c r="H937" s="162"/>
      <c r="I937" s="162"/>
      <c r="J937" s="162"/>
      <c r="K937" s="162"/>
      <c r="L937" s="162"/>
      <c r="M937" s="162"/>
      <c r="N937" s="162"/>
      <c r="O937" s="162"/>
      <c r="P937" s="162"/>
      <c r="Q937" s="162"/>
    </row>
    <row r="938" spans="2:17" x14ac:dyDescent="0.25">
      <c r="B938" s="120"/>
      <c r="C938" s="120"/>
      <c r="D938" s="120"/>
      <c r="E938" s="162"/>
      <c r="F938" s="162"/>
      <c r="G938" s="162"/>
      <c r="H938" s="162"/>
      <c r="I938" s="162"/>
      <c r="J938" s="162"/>
      <c r="K938" s="162"/>
      <c r="L938" s="162"/>
      <c r="M938" s="162"/>
      <c r="N938" s="162"/>
      <c r="O938" s="162"/>
      <c r="P938" s="162"/>
      <c r="Q938" s="162"/>
    </row>
    <row r="939" spans="2:17" x14ac:dyDescent="0.25">
      <c r="B939" s="120"/>
      <c r="C939" s="120"/>
      <c r="D939" s="120"/>
      <c r="E939" s="162"/>
      <c r="F939" s="162"/>
      <c r="G939" s="162"/>
      <c r="H939" s="162"/>
      <c r="I939" s="162"/>
      <c r="J939" s="162"/>
      <c r="K939" s="162"/>
      <c r="L939" s="162"/>
      <c r="M939" s="162"/>
      <c r="N939" s="162"/>
      <c r="O939" s="162"/>
      <c r="P939" s="162"/>
      <c r="Q939" s="162"/>
    </row>
    <row r="940" spans="2:17" x14ac:dyDescent="0.25">
      <c r="B940" s="120"/>
      <c r="C940" s="120"/>
      <c r="D940" s="120"/>
      <c r="E940" s="162"/>
      <c r="F940" s="162"/>
      <c r="G940" s="162"/>
      <c r="H940" s="162"/>
      <c r="I940" s="162"/>
      <c r="J940" s="162"/>
      <c r="K940" s="162"/>
      <c r="L940" s="162"/>
      <c r="M940" s="162"/>
      <c r="N940" s="162"/>
      <c r="O940" s="162"/>
      <c r="P940" s="162"/>
      <c r="Q940" s="162"/>
    </row>
    <row r="941" spans="2:17" x14ac:dyDescent="0.25">
      <c r="B941" s="120"/>
      <c r="C941" s="120"/>
      <c r="D941" s="120"/>
      <c r="E941" s="162"/>
      <c r="F941" s="162"/>
      <c r="G941" s="162"/>
      <c r="H941" s="162"/>
      <c r="I941" s="162"/>
      <c r="J941" s="162"/>
      <c r="K941" s="162"/>
      <c r="L941" s="162"/>
      <c r="M941" s="162"/>
      <c r="N941" s="162"/>
      <c r="O941" s="162"/>
      <c r="P941" s="162"/>
      <c r="Q941" s="162"/>
    </row>
    <row r="942" spans="2:17" x14ac:dyDescent="0.25">
      <c r="B942" s="120"/>
      <c r="C942" s="120"/>
      <c r="D942" s="120"/>
      <c r="E942" s="162"/>
      <c r="F942" s="162"/>
      <c r="G942" s="162"/>
      <c r="H942" s="162"/>
      <c r="I942" s="162"/>
      <c r="J942" s="162"/>
      <c r="K942" s="162"/>
      <c r="L942" s="162"/>
      <c r="M942" s="162"/>
      <c r="N942" s="162"/>
      <c r="O942" s="162"/>
      <c r="P942" s="162"/>
      <c r="Q942" s="162"/>
    </row>
    <row r="943" spans="2:17" x14ac:dyDescent="0.25">
      <c r="B943" s="120"/>
      <c r="C943" s="120"/>
      <c r="D943" s="120"/>
      <c r="E943" s="162"/>
      <c r="F943" s="162"/>
      <c r="G943" s="162"/>
      <c r="H943" s="162"/>
      <c r="I943" s="162"/>
      <c r="J943" s="162"/>
      <c r="K943" s="162"/>
      <c r="L943" s="162"/>
      <c r="M943" s="162"/>
      <c r="N943" s="162"/>
      <c r="O943" s="162"/>
      <c r="P943" s="162"/>
      <c r="Q943" s="162"/>
    </row>
    <row r="944" spans="2:17" x14ac:dyDescent="0.25">
      <c r="B944" s="120"/>
      <c r="C944" s="120"/>
      <c r="D944" s="120"/>
      <c r="E944" s="162"/>
      <c r="F944" s="162"/>
      <c r="G944" s="162"/>
      <c r="H944" s="162"/>
      <c r="I944" s="162"/>
      <c r="J944" s="162"/>
      <c r="K944" s="162"/>
      <c r="L944" s="162"/>
      <c r="M944" s="162"/>
      <c r="N944" s="162"/>
      <c r="O944" s="162"/>
      <c r="P944" s="162"/>
      <c r="Q944" s="162"/>
    </row>
    <row r="945" spans="2:17" x14ac:dyDescent="0.25">
      <c r="B945" s="120"/>
      <c r="C945" s="120"/>
      <c r="D945" s="120"/>
      <c r="E945" s="162"/>
      <c r="F945" s="162"/>
      <c r="G945" s="162"/>
      <c r="H945" s="162"/>
      <c r="I945" s="162"/>
      <c r="J945" s="162"/>
      <c r="K945" s="162"/>
      <c r="L945" s="162"/>
      <c r="M945" s="162"/>
      <c r="N945" s="162"/>
      <c r="O945" s="162"/>
      <c r="P945" s="162"/>
      <c r="Q945" s="162"/>
    </row>
    <row r="946" spans="2:17" x14ac:dyDescent="0.25">
      <c r="B946" s="120"/>
      <c r="C946" s="120"/>
      <c r="D946" s="120"/>
      <c r="E946" s="162"/>
      <c r="F946" s="162"/>
      <c r="G946" s="162"/>
      <c r="H946" s="162"/>
      <c r="I946" s="162"/>
      <c r="J946" s="162"/>
      <c r="K946" s="162"/>
      <c r="L946" s="162"/>
      <c r="M946" s="162"/>
      <c r="N946" s="162"/>
      <c r="O946" s="162"/>
      <c r="P946" s="162"/>
      <c r="Q946" s="162"/>
    </row>
    <row r="947" spans="2:17" x14ac:dyDescent="0.25">
      <c r="B947" s="120"/>
      <c r="C947" s="120"/>
      <c r="D947" s="120"/>
      <c r="E947" s="162"/>
      <c r="F947" s="162"/>
      <c r="G947" s="162"/>
      <c r="H947" s="162"/>
      <c r="I947" s="162"/>
      <c r="J947" s="162"/>
      <c r="K947" s="162"/>
      <c r="L947" s="162"/>
      <c r="M947" s="162"/>
      <c r="N947" s="162"/>
      <c r="O947" s="162"/>
      <c r="P947" s="162"/>
      <c r="Q947" s="162"/>
    </row>
    <row r="948" spans="2:17" x14ac:dyDescent="0.25">
      <c r="B948" s="120"/>
      <c r="C948" s="120"/>
      <c r="D948" s="120"/>
      <c r="E948" s="162"/>
      <c r="F948" s="162"/>
      <c r="G948" s="162"/>
      <c r="H948" s="162"/>
      <c r="I948" s="162"/>
      <c r="J948" s="162"/>
      <c r="K948" s="162"/>
      <c r="L948" s="162"/>
      <c r="M948" s="162"/>
      <c r="N948" s="162"/>
      <c r="O948" s="162"/>
      <c r="P948" s="162"/>
      <c r="Q948" s="162"/>
    </row>
    <row r="949" spans="2:17" x14ac:dyDescent="0.25">
      <c r="B949" s="120"/>
      <c r="C949" s="120"/>
      <c r="D949" s="120"/>
      <c r="E949" s="162"/>
      <c r="F949" s="162"/>
      <c r="G949" s="162"/>
      <c r="H949" s="162"/>
      <c r="I949" s="162"/>
      <c r="J949" s="162"/>
      <c r="K949" s="162"/>
      <c r="L949" s="162"/>
      <c r="M949" s="162"/>
      <c r="N949" s="162"/>
      <c r="O949" s="162"/>
      <c r="P949" s="162"/>
      <c r="Q949" s="162"/>
    </row>
    <row r="950" spans="2:17" x14ac:dyDescent="0.25">
      <c r="B950" s="120"/>
      <c r="C950" s="120"/>
      <c r="D950" s="120"/>
      <c r="E950" s="162"/>
      <c r="F950" s="162"/>
      <c r="G950" s="162"/>
      <c r="H950" s="162"/>
      <c r="I950" s="162"/>
      <c r="J950" s="162"/>
      <c r="K950" s="162"/>
      <c r="L950" s="162"/>
      <c r="M950" s="162"/>
      <c r="N950" s="162"/>
      <c r="O950" s="162"/>
      <c r="P950" s="162"/>
      <c r="Q950" s="162"/>
    </row>
    <row r="951" spans="2:17" x14ac:dyDescent="0.25">
      <c r="B951" s="120"/>
      <c r="C951" s="120"/>
      <c r="D951" s="120"/>
      <c r="E951" s="162"/>
      <c r="F951" s="162"/>
      <c r="G951" s="162"/>
      <c r="H951" s="162"/>
      <c r="I951" s="162"/>
      <c r="J951" s="162"/>
      <c r="K951" s="162"/>
      <c r="L951" s="162"/>
      <c r="M951" s="162"/>
      <c r="N951" s="162"/>
      <c r="O951" s="162"/>
      <c r="P951" s="162"/>
      <c r="Q951" s="162"/>
    </row>
    <row r="952" spans="2:17" x14ac:dyDescent="0.25">
      <c r="B952" s="120"/>
      <c r="C952" s="120"/>
      <c r="D952" s="120"/>
      <c r="E952" s="162"/>
      <c r="F952" s="162"/>
      <c r="G952" s="162"/>
      <c r="H952" s="162"/>
      <c r="I952" s="162"/>
      <c r="J952" s="162"/>
      <c r="K952" s="162"/>
      <c r="L952" s="162"/>
      <c r="M952" s="162"/>
      <c r="N952" s="162"/>
      <c r="O952" s="162"/>
      <c r="P952" s="162"/>
      <c r="Q952" s="162"/>
    </row>
    <row r="953" spans="2:17" x14ac:dyDescent="0.25">
      <c r="B953" s="120"/>
      <c r="C953" s="120"/>
      <c r="D953" s="120"/>
      <c r="E953" s="162"/>
      <c r="F953" s="162"/>
      <c r="G953" s="162"/>
      <c r="H953" s="162"/>
      <c r="I953" s="162"/>
      <c r="J953" s="162"/>
      <c r="K953" s="162"/>
      <c r="L953" s="162"/>
      <c r="M953" s="162"/>
      <c r="N953" s="162"/>
      <c r="O953" s="162"/>
      <c r="P953" s="162"/>
      <c r="Q953" s="162"/>
    </row>
    <row r="954" spans="2:17" x14ac:dyDescent="0.25">
      <c r="B954" s="120"/>
      <c r="C954" s="120"/>
      <c r="D954" s="120"/>
      <c r="E954" s="162"/>
      <c r="F954" s="162"/>
      <c r="G954" s="162"/>
      <c r="H954" s="162"/>
      <c r="I954" s="162"/>
      <c r="J954" s="162"/>
      <c r="K954" s="162"/>
      <c r="L954" s="162"/>
      <c r="M954" s="162"/>
      <c r="N954" s="162"/>
      <c r="O954" s="162"/>
      <c r="P954" s="162"/>
      <c r="Q954" s="162"/>
    </row>
    <row r="955" spans="2:17" x14ac:dyDescent="0.25">
      <c r="B955" s="120"/>
      <c r="C955" s="120"/>
      <c r="D955" s="120"/>
      <c r="E955" s="162"/>
      <c r="F955" s="162"/>
      <c r="G955" s="162"/>
      <c r="H955" s="162"/>
      <c r="I955" s="162"/>
      <c r="J955" s="162"/>
      <c r="K955" s="162"/>
      <c r="L955" s="162"/>
      <c r="M955" s="162"/>
      <c r="N955" s="162"/>
      <c r="O955" s="162"/>
      <c r="P955" s="162"/>
      <c r="Q955" s="162"/>
    </row>
    <row r="956" spans="2:17" x14ac:dyDescent="0.25">
      <c r="B956" s="120"/>
      <c r="C956" s="120"/>
      <c r="D956" s="120"/>
      <c r="E956" s="162"/>
      <c r="F956" s="162"/>
      <c r="G956" s="162"/>
      <c r="H956" s="162"/>
      <c r="I956" s="162"/>
      <c r="J956" s="162"/>
      <c r="K956" s="162"/>
      <c r="L956" s="162"/>
      <c r="M956" s="162"/>
      <c r="N956" s="162"/>
      <c r="O956" s="162"/>
      <c r="P956" s="162"/>
      <c r="Q956" s="162"/>
    </row>
    <row r="957" spans="2:17" x14ac:dyDescent="0.25">
      <c r="B957" s="120"/>
      <c r="C957" s="120"/>
      <c r="D957" s="120"/>
      <c r="E957" s="162"/>
      <c r="F957" s="162"/>
      <c r="G957" s="162"/>
      <c r="H957" s="162"/>
      <c r="I957" s="162"/>
      <c r="J957" s="162"/>
      <c r="K957" s="162"/>
      <c r="L957" s="162"/>
      <c r="M957" s="162"/>
      <c r="N957" s="162"/>
      <c r="O957" s="162"/>
      <c r="P957" s="162"/>
      <c r="Q957" s="162"/>
    </row>
    <row r="958" spans="2:17" x14ac:dyDescent="0.25">
      <c r="B958" s="120"/>
      <c r="C958" s="120"/>
      <c r="D958" s="120"/>
      <c r="E958" s="162"/>
      <c r="F958" s="162"/>
      <c r="G958" s="162"/>
      <c r="H958" s="162"/>
      <c r="I958" s="162"/>
      <c r="J958" s="162"/>
      <c r="K958" s="162"/>
      <c r="L958" s="162"/>
      <c r="M958" s="162"/>
      <c r="N958" s="162"/>
      <c r="O958" s="162"/>
      <c r="P958" s="162"/>
      <c r="Q958" s="162"/>
    </row>
    <row r="959" spans="2:17" x14ac:dyDescent="0.25">
      <c r="B959" s="120"/>
      <c r="C959" s="120"/>
      <c r="D959" s="120"/>
      <c r="E959" s="162"/>
      <c r="F959" s="162"/>
      <c r="G959" s="162"/>
      <c r="H959" s="162"/>
      <c r="I959" s="162"/>
      <c r="J959" s="162"/>
      <c r="K959" s="162"/>
      <c r="L959" s="162"/>
      <c r="M959" s="162"/>
      <c r="N959" s="162"/>
      <c r="O959" s="162"/>
      <c r="P959" s="162"/>
      <c r="Q959" s="162"/>
    </row>
    <row r="960" spans="2:17" x14ac:dyDescent="0.25">
      <c r="B960" s="120"/>
      <c r="C960" s="120"/>
      <c r="D960" s="120"/>
      <c r="E960" s="162"/>
      <c r="F960" s="162"/>
      <c r="G960" s="162"/>
      <c r="H960" s="162"/>
      <c r="I960" s="162"/>
      <c r="J960" s="162"/>
      <c r="K960" s="162"/>
      <c r="L960" s="162"/>
      <c r="M960" s="162"/>
      <c r="N960" s="162"/>
      <c r="O960" s="162"/>
      <c r="P960" s="162"/>
      <c r="Q960" s="162"/>
    </row>
    <row r="961" spans="2:17" x14ac:dyDescent="0.25">
      <c r="B961" s="120"/>
      <c r="C961" s="120"/>
      <c r="D961" s="120"/>
      <c r="E961" s="162"/>
      <c r="F961" s="162"/>
      <c r="G961" s="162"/>
      <c r="H961" s="162"/>
      <c r="I961" s="162"/>
      <c r="J961" s="162"/>
      <c r="K961" s="162"/>
      <c r="L961" s="162"/>
      <c r="M961" s="162"/>
      <c r="N961" s="162"/>
      <c r="O961" s="162"/>
      <c r="P961" s="162"/>
      <c r="Q961" s="162"/>
    </row>
    <row r="962" spans="2:17" x14ac:dyDescent="0.25">
      <c r="B962" s="120"/>
      <c r="C962" s="120"/>
      <c r="D962" s="120"/>
      <c r="E962" s="162"/>
      <c r="F962" s="162"/>
      <c r="G962" s="162"/>
      <c r="H962" s="162"/>
      <c r="I962" s="162"/>
      <c r="J962" s="162"/>
      <c r="K962" s="162"/>
      <c r="L962" s="162"/>
      <c r="M962" s="162"/>
      <c r="N962" s="162"/>
      <c r="O962" s="162"/>
      <c r="P962" s="162"/>
      <c r="Q962" s="162"/>
    </row>
    <row r="963" spans="2:17" x14ac:dyDescent="0.25">
      <c r="B963" s="120"/>
      <c r="C963" s="120"/>
      <c r="D963" s="120"/>
      <c r="E963" s="162"/>
      <c r="F963" s="162"/>
      <c r="G963" s="162"/>
      <c r="H963" s="162"/>
      <c r="I963" s="162"/>
      <c r="J963" s="162"/>
      <c r="K963" s="162"/>
      <c r="L963" s="162"/>
      <c r="M963" s="162"/>
      <c r="N963" s="162"/>
      <c r="O963" s="162"/>
      <c r="P963" s="162"/>
      <c r="Q963" s="162"/>
    </row>
    <row r="964" spans="2:17" x14ac:dyDescent="0.25">
      <c r="B964" s="120"/>
      <c r="C964" s="120"/>
      <c r="D964" s="120"/>
      <c r="E964" s="162"/>
      <c r="F964" s="162"/>
      <c r="G964" s="162"/>
      <c r="H964" s="162"/>
      <c r="I964" s="162"/>
      <c r="J964" s="162"/>
      <c r="K964" s="162"/>
      <c r="L964" s="162"/>
      <c r="M964" s="162"/>
      <c r="N964" s="162"/>
      <c r="O964" s="162"/>
      <c r="P964" s="162"/>
      <c r="Q964" s="162"/>
    </row>
    <row r="965" spans="2:17" x14ac:dyDescent="0.25">
      <c r="B965" s="120"/>
      <c r="C965" s="120"/>
      <c r="D965" s="120"/>
      <c r="E965" s="162"/>
      <c r="F965" s="162"/>
      <c r="G965" s="162"/>
      <c r="H965" s="162"/>
      <c r="I965" s="162"/>
      <c r="J965" s="162"/>
      <c r="K965" s="162"/>
      <c r="L965" s="162"/>
      <c r="M965" s="162"/>
      <c r="N965" s="162"/>
      <c r="O965" s="162"/>
      <c r="P965" s="162"/>
      <c r="Q965" s="162"/>
    </row>
    <row r="966" spans="2:17" x14ac:dyDescent="0.25">
      <c r="B966" s="120"/>
      <c r="C966" s="120"/>
      <c r="D966" s="120"/>
      <c r="E966" s="162"/>
      <c r="F966" s="162"/>
      <c r="G966" s="162"/>
      <c r="H966" s="162"/>
      <c r="I966" s="162"/>
      <c r="J966" s="162"/>
      <c r="K966" s="162"/>
      <c r="L966" s="162"/>
      <c r="M966" s="162"/>
      <c r="N966" s="162"/>
      <c r="O966" s="162"/>
      <c r="P966" s="162"/>
      <c r="Q966" s="162"/>
    </row>
    <row r="967" spans="2:17" x14ac:dyDescent="0.25">
      <c r="B967" s="120"/>
      <c r="C967" s="120"/>
      <c r="D967" s="120"/>
      <c r="E967" s="162"/>
      <c r="F967" s="162"/>
      <c r="G967" s="162"/>
      <c r="H967" s="162"/>
      <c r="I967" s="162"/>
      <c r="J967" s="162"/>
      <c r="K967" s="162"/>
      <c r="L967" s="162"/>
      <c r="M967" s="162"/>
      <c r="N967" s="162"/>
      <c r="O967" s="162"/>
      <c r="P967" s="162"/>
      <c r="Q967" s="162"/>
    </row>
    <row r="968" spans="2:17" x14ac:dyDescent="0.25">
      <c r="B968" s="120"/>
      <c r="C968" s="120"/>
      <c r="D968" s="120"/>
      <c r="E968" s="162"/>
      <c r="F968" s="162"/>
      <c r="G968" s="162"/>
      <c r="H968" s="162"/>
      <c r="I968" s="162"/>
      <c r="J968" s="162"/>
      <c r="K968" s="162"/>
      <c r="L968" s="162"/>
      <c r="M968" s="162"/>
      <c r="N968" s="162"/>
      <c r="O968" s="162"/>
      <c r="P968" s="162"/>
      <c r="Q968" s="162"/>
    </row>
    <row r="969" spans="2:17" x14ac:dyDescent="0.25">
      <c r="B969" s="120"/>
      <c r="C969" s="120"/>
      <c r="D969" s="120"/>
      <c r="E969" s="162"/>
      <c r="F969" s="162"/>
      <c r="G969" s="162"/>
      <c r="H969" s="162"/>
      <c r="I969" s="162"/>
      <c r="J969" s="162"/>
      <c r="K969" s="162"/>
      <c r="L969" s="162"/>
      <c r="M969" s="162"/>
      <c r="N969" s="162"/>
      <c r="O969" s="162"/>
      <c r="P969" s="162"/>
      <c r="Q969" s="162"/>
    </row>
    <row r="970" spans="2:17" x14ac:dyDescent="0.25">
      <c r="B970" s="120"/>
      <c r="C970" s="120"/>
      <c r="D970" s="120"/>
      <c r="E970" s="162"/>
      <c r="F970" s="162"/>
      <c r="G970" s="162"/>
      <c r="H970" s="162"/>
      <c r="I970" s="162"/>
      <c r="J970" s="162"/>
      <c r="K970" s="162"/>
      <c r="L970" s="162"/>
      <c r="M970" s="162"/>
      <c r="N970" s="162"/>
      <c r="O970" s="162"/>
      <c r="P970" s="162"/>
      <c r="Q970" s="162"/>
    </row>
    <row r="971" spans="2:17" x14ac:dyDescent="0.25">
      <c r="B971" s="120"/>
      <c r="C971" s="120"/>
      <c r="D971" s="120"/>
      <c r="E971" s="162"/>
      <c r="F971" s="162"/>
      <c r="G971" s="162"/>
      <c r="H971" s="162"/>
      <c r="I971" s="162"/>
      <c r="J971" s="162"/>
      <c r="K971" s="162"/>
      <c r="L971" s="162"/>
      <c r="M971" s="162"/>
      <c r="N971" s="162"/>
      <c r="O971" s="162"/>
      <c r="P971" s="162"/>
      <c r="Q971" s="162"/>
    </row>
    <row r="972" spans="2:17" x14ac:dyDescent="0.25">
      <c r="B972" s="120"/>
      <c r="C972" s="120"/>
      <c r="D972" s="120"/>
      <c r="E972" s="162"/>
      <c r="F972" s="162"/>
      <c r="G972" s="162"/>
      <c r="H972" s="162"/>
      <c r="I972" s="162"/>
      <c r="J972" s="162"/>
      <c r="K972" s="162"/>
      <c r="L972" s="162"/>
      <c r="M972" s="162"/>
      <c r="N972" s="162"/>
      <c r="O972" s="162"/>
      <c r="P972" s="162"/>
      <c r="Q972" s="162"/>
    </row>
    <row r="973" spans="2:17" x14ac:dyDescent="0.25">
      <c r="B973" s="120"/>
      <c r="C973" s="120"/>
      <c r="D973" s="120"/>
      <c r="E973" s="162"/>
      <c r="F973" s="162"/>
      <c r="G973" s="162"/>
      <c r="H973" s="162"/>
      <c r="I973" s="162"/>
      <c r="J973" s="162"/>
      <c r="K973" s="162"/>
      <c r="L973" s="162"/>
      <c r="M973" s="162"/>
      <c r="N973" s="162"/>
      <c r="O973" s="162"/>
      <c r="P973" s="162"/>
      <c r="Q973" s="162"/>
    </row>
    <row r="974" spans="2:17" x14ac:dyDescent="0.25">
      <c r="B974" s="120"/>
      <c r="C974" s="120"/>
      <c r="D974" s="120"/>
      <c r="E974" s="162"/>
      <c r="F974" s="162"/>
      <c r="G974" s="162"/>
      <c r="H974" s="162"/>
      <c r="I974" s="162"/>
      <c r="J974" s="162"/>
      <c r="K974" s="162"/>
      <c r="L974" s="162"/>
      <c r="M974" s="162"/>
      <c r="N974" s="162"/>
      <c r="O974" s="162"/>
      <c r="P974" s="162"/>
      <c r="Q974" s="162"/>
    </row>
    <row r="975" spans="2:17" x14ac:dyDescent="0.25">
      <c r="B975" s="120"/>
      <c r="C975" s="120"/>
      <c r="D975" s="120"/>
      <c r="E975" s="162"/>
      <c r="F975" s="162"/>
      <c r="G975" s="162"/>
      <c r="H975" s="162"/>
      <c r="I975" s="162"/>
      <c r="J975" s="162"/>
      <c r="K975" s="162"/>
      <c r="L975" s="162"/>
      <c r="M975" s="162"/>
      <c r="N975" s="162"/>
      <c r="O975" s="162"/>
      <c r="P975" s="162"/>
      <c r="Q975" s="162"/>
    </row>
    <row r="976" spans="2:17" x14ac:dyDescent="0.25">
      <c r="B976" s="120"/>
      <c r="C976" s="120"/>
      <c r="D976" s="120"/>
      <c r="E976" s="162"/>
      <c r="F976" s="162"/>
      <c r="G976" s="162"/>
      <c r="H976" s="162"/>
      <c r="I976" s="162"/>
      <c r="J976" s="162"/>
      <c r="K976" s="162"/>
      <c r="L976" s="162"/>
      <c r="M976" s="162"/>
      <c r="N976" s="162"/>
      <c r="O976" s="162"/>
      <c r="P976" s="162"/>
      <c r="Q976" s="162"/>
    </row>
    <row r="977" spans="2:17" x14ac:dyDescent="0.25">
      <c r="B977" s="120"/>
      <c r="C977" s="120"/>
      <c r="D977" s="120"/>
      <c r="E977" s="162"/>
      <c r="F977" s="162"/>
      <c r="G977" s="162"/>
      <c r="H977" s="162"/>
      <c r="I977" s="162"/>
      <c r="J977" s="162"/>
      <c r="K977" s="162"/>
      <c r="L977" s="162"/>
      <c r="M977" s="162"/>
      <c r="N977" s="162"/>
      <c r="O977" s="162"/>
      <c r="P977" s="162"/>
      <c r="Q977" s="162"/>
    </row>
    <row r="978" spans="2:17" x14ac:dyDescent="0.25">
      <c r="B978" s="120"/>
      <c r="C978" s="120"/>
      <c r="D978" s="120"/>
      <c r="E978" s="162"/>
      <c r="F978" s="162"/>
      <c r="G978" s="162"/>
      <c r="H978" s="162"/>
      <c r="I978" s="162"/>
      <c r="J978" s="162"/>
      <c r="K978" s="162"/>
      <c r="L978" s="162"/>
      <c r="M978" s="162"/>
      <c r="N978" s="162"/>
      <c r="O978" s="162"/>
      <c r="P978" s="162"/>
      <c r="Q978" s="162"/>
    </row>
    <row r="979" spans="2:17" x14ac:dyDescent="0.25">
      <c r="B979" s="120"/>
      <c r="C979" s="120"/>
      <c r="D979" s="120"/>
      <c r="E979" s="162"/>
      <c r="F979" s="162"/>
      <c r="G979" s="162"/>
      <c r="H979" s="162"/>
      <c r="I979" s="162"/>
      <c r="J979" s="162"/>
      <c r="K979" s="162"/>
      <c r="L979" s="162"/>
      <c r="M979" s="162"/>
      <c r="N979" s="162"/>
      <c r="O979" s="162"/>
      <c r="P979" s="162"/>
      <c r="Q979" s="162"/>
    </row>
    <row r="980" spans="2:17" x14ac:dyDescent="0.25">
      <c r="B980" s="120"/>
      <c r="C980" s="120"/>
      <c r="D980" s="120"/>
      <c r="E980" s="162"/>
      <c r="F980" s="162"/>
      <c r="G980" s="162"/>
      <c r="H980" s="162"/>
      <c r="I980" s="162"/>
      <c r="J980" s="162"/>
      <c r="K980" s="162"/>
      <c r="L980" s="162"/>
      <c r="M980" s="162"/>
      <c r="N980" s="162"/>
      <c r="O980" s="162"/>
      <c r="P980" s="162"/>
      <c r="Q980" s="162"/>
    </row>
    <row r="981" spans="2:17" x14ac:dyDescent="0.25">
      <c r="B981" s="120"/>
      <c r="C981" s="120"/>
      <c r="D981" s="120"/>
      <c r="E981" s="162"/>
      <c r="F981" s="162"/>
      <c r="G981" s="162"/>
      <c r="H981" s="162"/>
      <c r="I981" s="162"/>
      <c r="J981" s="162"/>
      <c r="K981" s="162"/>
      <c r="L981" s="162"/>
      <c r="M981" s="162"/>
      <c r="N981" s="162"/>
      <c r="O981" s="162"/>
      <c r="P981" s="162"/>
      <c r="Q981" s="162"/>
    </row>
    <row r="982" spans="2:17" x14ac:dyDescent="0.25">
      <c r="B982" s="120"/>
      <c r="C982" s="120"/>
      <c r="D982" s="120"/>
      <c r="E982" s="162"/>
      <c r="F982" s="162"/>
      <c r="G982" s="162"/>
      <c r="H982" s="162"/>
      <c r="I982" s="162"/>
      <c r="J982" s="162"/>
      <c r="K982" s="162"/>
      <c r="L982" s="162"/>
      <c r="M982" s="162"/>
      <c r="N982" s="162"/>
      <c r="O982" s="162"/>
      <c r="P982" s="162"/>
      <c r="Q982" s="162"/>
    </row>
    <row r="983" spans="2:17" x14ac:dyDescent="0.25">
      <c r="B983" s="120"/>
      <c r="C983" s="120"/>
      <c r="D983" s="120"/>
      <c r="E983" s="162"/>
      <c r="F983" s="162"/>
      <c r="G983" s="162"/>
      <c r="H983" s="162"/>
      <c r="I983" s="162"/>
      <c r="J983" s="162"/>
      <c r="K983" s="162"/>
      <c r="L983" s="162"/>
      <c r="M983" s="162"/>
      <c r="N983" s="162"/>
      <c r="O983" s="162"/>
      <c r="P983" s="162"/>
      <c r="Q983" s="162"/>
    </row>
    <row r="984" spans="2:17" x14ac:dyDescent="0.25">
      <c r="B984" s="120"/>
      <c r="C984" s="120"/>
      <c r="D984" s="120"/>
      <c r="E984" s="162"/>
      <c r="F984" s="162"/>
      <c r="G984" s="162"/>
      <c r="H984" s="162"/>
      <c r="I984" s="162"/>
      <c r="J984" s="162"/>
      <c r="K984" s="162"/>
      <c r="L984" s="162"/>
      <c r="M984" s="162"/>
      <c r="N984" s="162"/>
      <c r="O984" s="162"/>
      <c r="P984" s="162"/>
      <c r="Q984" s="162"/>
    </row>
    <row r="985" spans="2:17" x14ac:dyDescent="0.25">
      <c r="B985" s="120"/>
      <c r="C985" s="120"/>
      <c r="D985" s="120"/>
      <c r="E985" s="162"/>
      <c r="F985" s="162"/>
      <c r="G985" s="162"/>
      <c r="H985" s="162"/>
      <c r="I985" s="162"/>
      <c r="J985" s="162"/>
      <c r="K985" s="162"/>
      <c r="L985" s="162"/>
      <c r="M985" s="162"/>
      <c r="N985" s="162"/>
      <c r="O985" s="162"/>
      <c r="P985" s="162"/>
      <c r="Q985" s="162"/>
    </row>
    <row r="986" spans="2:17" x14ac:dyDescent="0.25">
      <c r="B986" s="120"/>
      <c r="C986" s="120"/>
      <c r="D986" s="120"/>
      <c r="E986" s="162"/>
      <c r="F986" s="162"/>
      <c r="G986" s="162"/>
      <c r="H986" s="162"/>
      <c r="I986" s="162"/>
      <c r="J986" s="162"/>
      <c r="K986" s="162"/>
      <c r="L986" s="162"/>
      <c r="M986" s="162"/>
      <c r="N986" s="162"/>
      <c r="O986" s="162"/>
      <c r="P986" s="162"/>
      <c r="Q986" s="162"/>
    </row>
    <row r="987" spans="2:17" x14ac:dyDescent="0.25">
      <c r="B987" s="120"/>
      <c r="C987" s="120"/>
      <c r="D987" s="120"/>
      <c r="E987" s="162"/>
      <c r="F987" s="162"/>
      <c r="G987" s="162"/>
      <c r="H987" s="162"/>
      <c r="I987" s="162"/>
      <c r="J987" s="162"/>
      <c r="K987" s="162"/>
      <c r="L987" s="162"/>
      <c r="M987" s="162"/>
      <c r="N987" s="162"/>
      <c r="O987" s="162"/>
      <c r="P987" s="162"/>
      <c r="Q987" s="162"/>
    </row>
    <row r="988" spans="2:17" x14ac:dyDescent="0.25">
      <c r="B988" s="120"/>
      <c r="C988" s="120"/>
      <c r="D988" s="120"/>
      <c r="E988" s="162"/>
      <c r="F988" s="162"/>
      <c r="G988" s="162"/>
      <c r="H988" s="162"/>
      <c r="I988" s="162"/>
      <c r="J988" s="162"/>
      <c r="K988" s="162"/>
      <c r="L988" s="162"/>
      <c r="M988" s="162"/>
      <c r="N988" s="162"/>
      <c r="O988" s="162"/>
      <c r="P988" s="162"/>
      <c r="Q988" s="162"/>
    </row>
    <row r="989" spans="2:17" x14ac:dyDescent="0.25">
      <c r="B989" s="120"/>
      <c r="C989" s="120"/>
      <c r="D989" s="120"/>
      <c r="E989" s="162"/>
      <c r="F989" s="162"/>
      <c r="G989" s="162"/>
      <c r="H989" s="162"/>
      <c r="I989" s="162"/>
      <c r="J989" s="162"/>
      <c r="K989" s="162"/>
      <c r="L989" s="162"/>
      <c r="M989" s="162"/>
      <c r="N989" s="162"/>
      <c r="O989" s="162"/>
      <c r="P989" s="162"/>
      <c r="Q989" s="162"/>
    </row>
    <row r="990" spans="2:17" x14ac:dyDescent="0.25">
      <c r="B990" s="120"/>
      <c r="C990" s="120"/>
      <c r="D990" s="120"/>
      <c r="E990" s="162"/>
      <c r="F990" s="162"/>
      <c r="G990" s="162"/>
      <c r="H990" s="162"/>
      <c r="I990" s="162"/>
      <c r="J990" s="162"/>
      <c r="K990" s="162"/>
      <c r="L990" s="162"/>
      <c r="M990" s="162"/>
      <c r="N990" s="162"/>
      <c r="O990" s="162"/>
      <c r="P990" s="162"/>
      <c r="Q990" s="162"/>
    </row>
    <row r="991" spans="2:17" x14ac:dyDescent="0.25">
      <c r="B991" s="120"/>
      <c r="C991" s="120"/>
      <c r="D991" s="120"/>
      <c r="E991" s="162"/>
      <c r="F991" s="162"/>
      <c r="G991" s="162"/>
      <c r="H991" s="162"/>
      <c r="I991" s="162"/>
      <c r="J991" s="162"/>
      <c r="K991" s="162"/>
      <c r="L991" s="162"/>
      <c r="M991" s="162"/>
      <c r="N991" s="162"/>
      <c r="O991" s="162"/>
      <c r="P991" s="162"/>
      <c r="Q991" s="162"/>
    </row>
    <row r="992" spans="2:17" x14ac:dyDescent="0.25">
      <c r="B992" s="120"/>
      <c r="C992" s="120"/>
      <c r="D992" s="120"/>
      <c r="E992" s="162"/>
      <c r="F992" s="162"/>
      <c r="G992" s="162"/>
      <c r="H992" s="162"/>
      <c r="I992" s="162"/>
      <c r="J992" s="162"/>
      <c r="K992" s="162"/>
      <c r="L992" s="162"/>
      <c r="M992" s="162"/>
      <c r="N992" s="162"/>
      <c r="O992" s="162"/>
      <c r="P992" s="162"/>
      <c r="Q992" s="162"/>
    </row>
    <row r="993" spans="2:17" x14ac:dyDescent="0.25">
      <c r="B993" s="120"/>
      <c r="C993" s="120"/>
      <c r="D993" s="120"/>
      <c r="E993" s="162"/>
      <c r="F993" s="162"/>
      <c r="G993" s="162"/>
      <c r="H993" s="162"/>
      <c r="I993" s="162"/>
      <c r="J993" s="162"/>
      <c r="K993" s="162"/>
      <c r="L993" s="162"/>
      <c r="M993" s="162"/>
      <c r="N993" s="162"/>
      <c r="O993" s="162"/>
      <c r="P993" s="162"/>
      <c r="Q993" s="162"/>
    </row>
    <row r="994" spans="2:17" x14ac:dyDescent="0.25">
      <c r="B994" s="120"/>
      <c r="C994" s="120"/>
      <c r="D994" s="120"/>
      <c r="E994" s="162"/>
      <c r="F994" s="162"/>
      <c r="G994" s="162"/>
      <c r="H994" s="162"/>
      <c r="I994" s="162"/>
      <c r="J994" s="162"/>
      <c r="K994" s="162"/>
      <c r="L994" s="162"/>
      <c r="M994" s="162"/>
      <c r="N994" s="162"/>
      <c r="O994" s="162"/>
      <c r="P994" s="162"/>
      <c r="Q994" s="162"/>
    </row>
    <row r="995" spans="2:17" x14ac:dyDescent="0.25">
      <c r="B995" s="120"/>
      <c r="C995" s="120"/>
      <c r="D995" s="120"/>
      <c r="E995" s="162"/>
      <c r="F995" s="162"/>
      <c r="G995" s="162"/>
      <c r="H995" s="162"/>
      <c r="I995" s="162"/>
      <c r="J995" s="162"/>
      <c r="K995" s="162"/>
      <c r="L995" s="162"/>
      <c r="M995" s="162"/>
      <c r="N995" s="162"/>
      <c r="O995" s="162"/>
      <c r="P995" s="162"/>
      <c r="Q995" s="162"/>
    </row>
    <row r="996" spans="2:17" x14ac:dyDescent="0.25">
      <c r="B996" s="120"/>
      <c r="C996" s="120"/>
      <c r="D996" s="120"/>
      <c r="E996" s="162"/>
      <c r="F996" s="162"/>
      <c r="G996" s="162"/>
      <c r="H996" s="162"/>
      <c r="I996" s="162"/>
      <c r="J996" s="162"/>
      <c r="K996" s="162"/>
      <c r="L996" s="162"/>
      <c r="M996" s="162"/>
      <c r="N996" s="162"/>
      <c r="O996" s="162"/>
      <c r="P996" s="162"/>
      <c r="Q996" s="162"/>
    </row>
    <row r="997" spans="2:17" x14ac:dyDescent="0.25">
      <c r="B997" s="120"/>
      <c r="C997" s="120"/>
      <c r="D997" s="120"/>
      <c r="E997" s="162"/>
      <c r="F997" s="162"/>
      <c r="G997" s="162"/>
      <c r="H997" s="162"/>
      <c r="I997" s="162"/>
      <c r="J997" s="162"/>
      <c r="K997" s="162"/>
      <c r="L997" s="162"/>
      <c r="M997" s="162"/>
      <c r="N997" s="162"/>
      <c r="O997" s="162"/>
      <c r="P997" s="162"/>
      <c r="Q997" s="162"/>
    </row>
    <row r="998" spans="2:17" x14ac:dyDescent="0.25">
      <c r="B998" s="120"/>
      <c r="C998" s="120"/>
      <c r="D998" s="120"/>
      <c r="E998" s="162"/>
      <c r="F998" s="162"/>
      <c r="G998" s="162"/>
      <c r="H998" s="162"/>
      <c r="I998" s="162"/>
      <c r="J998" s="162"/>
      <c r="K998" s="162"/>
      <c r="L998" s="162"/>
      <c r="M998" s="162"/>
      <c r="N998" s="162"/>
      <c r="O998" s="162"/>
      <c r="P998" s="162"/>
      <c r="Q998" s="162"/>
    </row>
    <row r="999" spans="2:17" x14ac:dyDescent="0.25">
      <c r="B999" s="120"/>
      <c r="C999" s="120"/>
      <c r="D999" s="120"/>
      <c r="E999" s="162"/>
      <c r="F999" s="162"/>
      <c r="G999" s="162"/>
      <c r="H999" s="162"/>
      <c r="I999" s="162"/>
      <c r="J999" s="162"/>
      <c r="K999" s="162"/>
      <c r="L999" s="162"/>
      <c r="M999" s="162"/>
      <c r="N999" s="162"/>
      <c r="O999" s="162"/>
      <c r="P999" s="162"/>
      <c r="Q999" s="162"/>
    </row>
    <row r="1000" spans="2:17" x14ac:dyDescent="0.25">
      <c r="B1000" s="120"/>
      <c r="C1000" s="120"/>
      <c r="D1000" s="120"/>
      <c r="E1000" s="162"/>
      <c r="F1000" s="162"/>
      <c r="G1000" s="162"/>
      <c r="H1000" s="162"/>
      <c r="I1000" s="162"/>
      <c r="J1000" s="162"/>
      <c r="K1000" s="162"/>
      <c r="L1000" s="162"/>
      <c r="M1000" s="162"/>
      <c r="N1000" s="162"/>
      <c r="O1000" s="162"/>
      <c r="P1000" s="162"/>
      <c r="Q1000" s="162"/>
    </row>
    <row r="1001" spans="2:17" x14ac:dyDescent="0.25">
      <c r="B1001" s="120"/>
      <c r="C1001" s="120"/>
      <c r="D1001" s="120"/>
      <c r="E1001" s="162"/>
      <c r="F1001" s="162"/>
      <c r="G1001" s="162"/>
      <c r="H1001" s="162"/>
      <c r="I1001" s="162"/>
      <c r="J1001" s="162"/>
      <c r="K1001" s="162"/>
      <c r="L1001" s="162"/>
      <c r="M1001" s="162"/>
      <c r="N1001" s="162"/>
      <c r="O1001" s="162"/>
      <c r="P1001" s="162"/>
      <c r="Q1001" s="162"/>
    </row>
    <row r="1002" spans="2:17" x14ac:dyDescent="0.25">
      <c r="B1002" s="120"/>
      <c r="C1002" s="120"/>
      <c r="D1002" s="120"/>
      <c r="E1002" s="162"/>
      <c r="F1002" s="162"/>
      <c r="G1002" s="162"/>
      <c r="H1002" s="162"/>
      <c r="I1002" s="162"/>
      <c r="J1002" s="162"/>
      <c r="K1002" s="162"/>
      <c r="L1002" s="162"/>
      <c r="M1002" s="162"/>
      <c r="N1002" s="162"/>
      <c r="O1002" s="162"/>
      <c r="P1002" s="162"/>
      <c r="Q1002" s="162"/>
    </row>
    <row r="1003" spans="2:17" x14ac:dyDescent="0.25">
      <c r="B1003" s="120"/>
      <c r="C1003" s="120"/>
      <c r="D1003" s="120"/>
      <c r="E1003" s="162"/>
      <c r="F1003" s="162"/>
      <c r="G1003" s="162"/>
      <c r="H1003" s="162"/>
      <c r="I1003" s="162"/>
      <c r="J1003" s="162"/>
      <c r="K1003" s="162"/>
      <c r="L1003" s="162"/>
      <c r="M1003" s="162"/>
      <c r="N1003" s="162"/>
      <c r="O1003" s="162"/>
      <c r="P1003" s="162"/>
      <c r="Q1003" s="162"/>
    </row>
    <row r="1004" spans="2:17" x14ac:dyDescent="0.25">
      <c r="B1004" s="120"/>
      <c r="C1004" s="120"/>
      <c r="D1004" s="120"/>
      <c r="E1004" s="162"/>
      <c r="F1004" s="162"/>
      <c r="G1004" s="162"/>
      <c r="H1004" s="162"/>
      <c r="I1004" s="162"/>
      <c r="J1004" s="162"/>
      <c r="K1004" s="162"/>
      <c r="L1004" s="162"/>
      <c r="M1004" s="162"/>
      <c r="N1004" s="162"/>
      <c r="O1004" s="162"/>
      <c r="P1004" s="162"/>
      <c r="Q1004" s="162"/>
    </row>
    <row r="1005" spans="2:17" x14ac:dyDescent="0.25">
      <c r="B1005" s="120"/>
      <c r="C1005" s="120"/>
      <c r="D1005" s="120"/>
      <c r="E1005" s="162"/>
      <c r="F1005" s="162"/>
      <c r="G1005" s="162"/>
      <c r="H1005" s="162"/>
      <c r="I1005" s="162"/>
      <c r="J1005" s="162"/>
      <c r="K1005" s="162"/>
      <c r="L1005" s="162"/>
      <c r="M1005" s="162"/>
      <c r="N1005" s="162"/>
      <c r="O1005" s="162"/>
      <c r="P1005" s="162"/>
      <c r="Q1005" s="162"/>
    </row>
    <row r="1006" spans="2:17" x14ac:dyDescent="0.25">
      <c r="B1006" s="120"/>
      <c r="C1006" s="120"/>
      <c r="D1006" s="120"/>
      <c r="E1006" s="162"/>
      <c r="F1006" s="162"/>
      <c r="G1006" s="162"/>
      <c r="H1006" s="162"/>
      <c r="I1006" s="162"/>
      <c r="J1006" s="162"/>
      <c r="K1006" s="162"/>
      <c r="L1006" s="162"/>
      <c r="M1006" s="162"/>
      <c r="N1006" s="162"/>
      <c r="O1006" s="162"/>
      <c r="P1006" s="162"/>
      <c r="Q1006" s="162"/>
    </row>
    <row r="1007" spans="2:17" x14ac:dyDescent="0.25">
      <c r="B1007" s="120"/>
      <c r="C1007" s="120"/>
      <c r="D1007" s="120"/>
      <c r="E1007" s="162"/>
      <c r="F1007" s="162"/>
      <c r="G1007" s="162"/>
      <c r="H1007" s="162"/>
      <c r="I1007" s="162"/>
      <c r="J1007" s="162"/>
      <c r="K1007" s="162"/>
      <c r="L1007" s="162"/>
      <c r="M1007" s="162"/>
      <c r="N1007" s="162"/>
      <c r="O1007" s="162"/>
      <c r="P1007" s="162"/>
      <c r="Q1007" s="162"/>
    </row>
    <row r="1008" spans="2:17" x14ac:dyDescent="0.25">
      <c r="B1008" s="120"/>
      <c r="C1008" s="120"/>
      <c r="D1008" s="120"/>
      <c r="E1008" s="162"/>
      <c r="F1008" s="162"/>
      <c r="G1008" s="162"/>
      <c r="H1008" s="162"/>
      <c r="I1008" s="162"/>
      <c r="J1008" s="162"/>
      <c r="K1008" s="162"/>
      <c r="L1008" s="162"/>
      <c r="M1008" s="162"/>
      <c r="N1008" s="162"/>
      <c r="O1008" s="162"/>
      <c r="P1008" s="162"/>
      <c r="Q1008" s="162"/>
    </row>
    <row r="1009" spans="2:17" x14ac:dyDescent="0.25">
      <c r="B1009" s="120"/>
      <c r="C1009" s="120"/>
      <c r="D1009" s="120"/>
      <c r="E1009" s="162"/>
      <c r="F1009" s="162"/>
      <c r="G1009" s="162"/>
      <c r="H1009" s="162"/>
      <c r="I1009" s="162"/>
      <c r="J1009" s="162"/>
      <c r="K1009" s="162"/>
      <c r="L1009" s="162"/>
      <c r="M1009" s="162"/>
      <c r="N1009" s="162"/>
      <c r="O1009" s="162"/>
      <c r="P1009" s="162"/>
      <c r="Q1009" s="162"/>
    </row>
    <row r="1010" spans="2:17" x14ac:dyDescent="0.25">
      <c r="B1010" s="120"/>
      <c r="C1010" s="120"/>
      <c r="D1010" s="120"/>
      <c r="E1010" s="162"/>
      <c r="F1010" s="162"/>
      <c r="G1010" s="162"/>
      <c r="H1010" s="162"/>
      <c r="I1010" s="162"/>
      <c r="J1010" s="162"/>
      <c r="K1010" s="162"/>
      <c r="L1010" s="162"/>
      <c r="M1010" s="162"/>
      <c r="N1010" s="162"/>
      <c r="O1010" s="162"/>
      <c r="P1010" s="162"/>
      <c r="Q1010" s="162"/>
    </row>
    <row r="1011" spans="2:17" x14ac:dyDescent="0.25">
      <c r="B1011" s="120"/>
      <c r="C1011" s="120"/>
      <c r="D1011" s="120"/>
      <c r="E1011" s="162"/>
      <c r="F1011" s="162"/>
      <c r="G1011" s="162"/>
      <c r="H1011" s="162"/>
      <c r="I1011" s="162"/>
      <c r="J1011" s="162"/>
      <c r="K1011" s="162"/>
      <c r="L1011" s="162"/>
      <c r="M1011" s="162"/>
      <c r="N1011" s="162"/>
      <c r="O1011" s="162"/>
      <c r="P1011" s="162"/>
      <c r="Q1011" s="162"/>
    </row>
    <row r="1012" spans="2:17" x14ac:dyDescent="0.25">
      <c r="B1012" s="120"/>
      <c r="C1012" s="120"/>
      <c r="D1012" s="120"/>
      <c r="E1012" s="162"/>
      <c r="F1012" s="162"/>
      <c r="G1012" s="162"/>
      <c r="H1012" s="162"/>
      <c r="I1012" s="162"/>
      <c r="J1012" s="162"/>
      <c r="K1012" s="162"/>
      <c r="L1012" s="162"/>
      <c r="M1012" s="162"/>
      <c r="N1012" s="162"/>
      <c r="O1012" s="162"/>
      <c r="P1012" s="162"/>
      <c r="Q1012" s="162"/>
    </row>
    <row r="1013" spans="2:17" x14ac:dyDescent="0.25">
      <c r="B1013" s="120"/>
      <c r="C1013" s="120"/>
      <c r="D1013" s="120"/>
      <c r="E1013" s="162"/>
      <c r="F1013" s="162"/>
      <c r="G1013" s="162"/>
      <c r="H1013" s="162"/>
      <c r="I1013" s="162"/>
      <c r="J1013" s="162"/>
      <c r="K1013" s="162"/>
      <c r="L1013" s="162"/>
      <c r="M1013" s="162"/>
      <c r="N1013" s="162"/>
      <c r="O1013" s="162"/>
      <c r="P1013" s="162"/>
      <c r="Q1013" s="162"/>
    </row>
    <row r="1014" spans="2:17" x14ac:dyDescent="0.25">
      <c r="B1014" s="120"/>
      <c r="C1014" s="120"/>
      <c r="D1014" s="120"/>
      <c r="E1014" s="162"/>
      <c r="F1014" s="162"/>
      <c r="G1014" s="162"/>
      <c r="H1014" s="162"/>
      <c r="I1014" s="162"/>
      <c r="J1014" s="162"/>
      <c r="K1014" s="162"/>
      <c r="L1014" s="162"/>
      <c r="M1014" s="162"/>
      <c r="N1014" s="162"/>
      <c r="O1014" s="162"/>
      <c r="P1014" s="162"/>
      <c r="Q1014" s="162"/>
    </row>
    <row r="1015" spans="2:17" x14ac:dyDescent="0.25">
      <c r="B1015" s="120"/>
      <c r="C1015" s="120"/>
      <c r="D1015" s="120"/>
      <c r="E1015" s="162"/>
      <c r="F1015" s="162"/>
      <c r="G1015" s="162"/>
      <c r="H1015" s="162"/>
      <c r="I1015" s="162"/>
      <c r="J1015" s="162"/>
      <c r="K1015" s="162"/>
      <c r="L1015" s="162"/>
      <c r="M1015" s="162"/>
      <c r="N1015" s="162"/>
      <c r="O1015" s="162"/>
      <c r="P1015" s="162"/>
      <c r="Q1015" s="162"/>
    </row>
    <row r="1016" spans="2:17" x14ac:dyDescent="0.25">
      <c r="B1016" s="120"/>
      <c r="C1016" s="120"/>
      <c r="D1016" s="120"/>
      <c r="E1016" s="162"/>
      <c r="F1016" s="162"/>
      <c r="G1016" s="162"/>
      <c r="H1016" s="162"/>
      <c r="I1016" s="162"/>
      <c r="J1016" s="162"/>
      <c r="K1016" s="162"/>
      <c r="L1016" s="162"/>
      <c r="M1016" s="162"/>
      <c r="N1016" s="162"/>
      <c r="O1016" s="162"/>
      <c r="P1016" s="162"/>
      <c r="Q1016" s="162"/>
    </row>
    <row r="1017" spans="2:17" x14ac:dyDescent="0.25">
      <c r="B1017" s="120"/>
      <c r="C1017" s="120"/>
      <c r="D1017" s="120"/>
      <c r="E1017" s="162"/>
      <c r="F1017" s="162"/>
      <c r="G1017" s="162"/>
      <c r="H1017" s="162"/>
      <c r="I1017" s="162"/>
      <c r="J1017" s="162"/>
      <c r="K1017" s="162"/>
      <c r="L1017" s="162"/>
      <c r="M1017" s="162"/>
      <c r="N1017" s="162"/>
      <c r="O1017" s="162"/>
      <c r="P1017" s="162"/>
      <c r="Q1017" s="162"/>
    </row>
    <row r="1018" spans="2:17" x14ac:dyDescent="0.25">
      <c r="B1018" s="120"/>
      <c r="C1018" s="120"/>
      <c r="D1018" s="120"/>
      <c r="E1018" s="162"/>
      <c r="F1018" s="162"/>
      <c r="G1018" s="162"/>
      <c r="H1018" s="162"/>
      <c r="I1018" s="162"/>
      <c r="J1018" s="162"/>
      <c r="K1018" s="162"/>
      <c r="L1018" s="162"/>
      <c r="M1018" s="162"/>
      <c r="N1018" s="162"/>
      <c r="O1018" s="162"/>
      <c r="P1018" s="162"/>
      <c r="Q1018" s="162"/>
    </row>
    <row r="1019" spans="2:17" x14ac:dyDescent="0.25">
      <c r="B1019" s="120"/>
      <c r="C1019" s="120"/>
      <c r="D1019" s="120"/>
      <c r="E1019" s="162"/>
      <c r="F1019" s="162"/>
      <c r="G1019" s="162"/>
      <c r="H1019" s="162"/>
      <c r="I1019" s="162"/>
      <c r="J1019" s="162"/>
      <c r="K1019" s="162"/>
      <c r="L1019" s="162"/>
      <c r="M1019" s="162"/>
      <c r="N1019" s="162"/>
      <c r="O1019" s="162"/>
      <c r="P1019" s="162"/>
      <c r="Q1019" s="162"/>
    </row>
    <row r="1020" spans="2:17" x14ac:dyDescent="0.25">
      <c r="B1020" s="120"/>
      <c r="C1020" s="120"/>
      <c r="D1020" s="120"/>
      <c r="E1020" s="162"/>
      <c r="F1020" s="162"/>
      <c r="G1020" s="162"/>
      <c r="H1020" s="162"/>
      <c r="I1020" s="162"/>
      <c r="J1020" s="162"/>
      <c r="K1020" s="162"/>
      <c r="L1020" s="162"/>
      <c r="M1020" s="162"/>
      <c r="N1020" s="162"/>
      <c r="O1020" s="162"/>
      <c r="P1020" s="162"/>
      <c r="Q1020" s="162"/>
    </row>
    <row r="1021" spans="2:17" x14ac:dyDescent="0.25">
      <c r="B1021" s="120"/>
      <c r="C1021" s="120"/>
      <c r="D1021" s="120"/>
      <c r="E1021" s="162"/>
      <c r="F1021" s="162"/>
      <c r="G1021" s="162"/>
      <c r="H1021" s="162"/>
      <c r="I1021" s="162"/>
      <c r="J1021" s="162"/>
      <c r="K1021" s="162"/>
      <c r="L1021" s="162"/>
      <c r="M1021" s="162"/>
      <c r="N1021" s="162"/>
      <c r="O1021" s="162"/>
      <c r="P1021" s="162"/>
      <c r="Q1021" s="162"/>
    </row>
    <row r="1022" spans="2:17" x14ac:dyDescent="0.25">
      <c r="B1022" s="120"/>
      <c r="C1022" s="120"/>
      <c r="D1022" s="120"/>
      <c r="E1022" s="162"/>
      <c r="F1022" s="162"/>
      <c r="G1022" s="162"/>
      <c r="H1022" s="162"/>
      <c r="I1022" s="162"/>
      <c r="J1022" s="162"/>
      <c r="K1022" s="162"/>
      <c r="L1022" s="162"/>
      <c r="M1022" s="162"/>
      <c r="N1022" s="162"/>
      <c r="O1022" s="162"/>
      <c r="P1022" s="162"/>
      <c r="Q1022" s="162"/>
    </row>
    <row r="1023" spans="2:17" x14ac:dyDescent="0.25">
      <c r="B1023" s="120"/>
      <c r="C1023" s="120"/>
      <c r="D1023" s="120"/>
      <c r="E1023" s="162"/>
      <c r="F1023" s="162"/>
      <c r="G1023" s="162"/>
      <c r="H1023" s="162"/>
      <c r="I1023" s="162"/>
      <c r="J1023" s="162"/>
      <c r="K1023" s="162"/>
      <c r="L1023" s="162"/>
      <c r="M1023" s="162"/>
      <c r="N1023" s="162"/>
      <c r="O1023" s="162"/>
      <c r="P1023" s="162"/>
      <c r="Q1023" s="162"/>
    </row>
    <row r="1024" spans="2:17" x14ac:dyDescent="0.25">
      <c r="B1024" s="120"/>
      <c r="C1024" s="120"/>
      <c r="D1024" s="120"/>
      <c r="E1024" s="162"/>
      <c r="F1024" s="162"/>
      <c r="G1024" s="162"/>
      <c r="H1024" s="162"/>
      <c r="I1024" s="162"/>
      <c r="J1024" s="162"/>
      <c r="K1024" s="162"/>
      <c r="L1024" s="162"/>
      <c r="M1024" s="162"/>
      <c r="N1024" s="162"/>
      <c r="O1024" s="162"/>
      <c r="P1024" s="162"/>
      <c r="Q1024" s="162"/>
    </row>
    <row r="1025" spans="2:17" x14ac:dyDescent="0.25">
      <c r="B1025" s="120"/>
      <c r="C1025" s="120"/>
      <c r="D1025" s="120"/>
      <c r="E1025" s="162"/>
      <c r="F1025" s="162"/>
      <c r="G1025" s="162"/>
      <c r="H1025" s="162"/>
      <c r="I1025" s="162"/>
      <c r="J1025" s="162"/>
      <c r="K1025" s="162"/>
      <c r="L1025" s="162"/>
      <c r="M1025" s="162"/>
      <c r="N1025" s="162"/>
      <c r="O1025" s="162"/>
      <c r="P1025" s="162"/>
      <c r="Q1025" s="162"/>
    </row>
    <row r="1026" spans="2:17" x14ac:dyDescent="0.25">
      <c r="B1026" s="120"/>
      <c r="C1026" s="120"/>
      <c r="D1026" s="120"/>
      <c r="E1026" s="162"/>
      <c r="F1026" s="162"/>
      <c r="G1026" s="162"/>
      <c r="H1026" s="162"/>
      <c r="I1026" s="162"/>
      <c r="J1026" s="162"/>
      <c r="K1026" s="162"/>
      <c r="L1026" s="162"/>
      <c r="M1026" s="162"/>
      <c r="N1026" s="162"/>
      <c r="O1026" s="162"/>
      <c r="P1026" s="162"/>
      <c r="Q1026" s="162"/>
    </row>
    <row r="1027" spans="2:17" x14ac:dyDescent="0.25">
      <c r="B1027" s="120"/>
      <c r="C1027" s="120"/>
      <c r="D1027" s="120"/>
      <c r="E1027" s="162"/>
      <c r="F1027" s="162"/>
      <c r="G1027" s="162"/>
      <c r="H1027" s="162"/>
      <c r="I1027" s="162"/>
      <c r="J1027" s="162"/>
      <c r="K1027" s="162"/>
      <c r="L1027" s="162"/>
      <c r="M1027" s="162"/>
      <c r="N1027" s="162"/>
      <c r="O1027" s="162"/>
      <c r="P1027" s="162"/>
      <c r="Q1027" s="162"/>
    </row>
    <row r="1028" spans="2:17" x14ac:dyDescent="0.25">
      <c r="B1028" s="120"/>
      <c r="C1028" s="120"/>
      <c r="D1028" s="120"/>
      <c r="E1028" s="162"/>
      <c r="F1028" s="162"/>
      <c r="G1028" s="162"/>
      <c r="H1028" s="162"/>
      <c r="I1028" s="162"/>
      <c r="J1028" s="162"/>
      <c r="K1028" s="162"/>
      <c r="L1028" s="162"/>
      <c r="M1028" s="162"/>
      <c r="N1028" s="162"/>
      <c r="O1028" s="162"/>
      <c r="P1028" s="162"/>
      <c r="Q1028" s="162"/>
    </row>
    <row r="1029" spans="2:17" x14ac:dyDescent="0.25">
      <c r="B1029" s="120"/>
      <c r="C1029" s="120"/>
      <c r="D1029" s="120"/>
      <c r="E1029" s="162"/>
      <c r="F1029" s="162"/>
      <c r="G1029" s="162"/>
      <c r="H1029" s="162"/>
      <c r="I1029" s="162"/>
      <c r="J1029" s="162"/>
      <c r="K1029" s="162"/>
      <c r="L1029" s="162"/>
      <c r="M1029" s="162"/>
      <c r="N1029" s="162"/>
      <c r="O1029" s="162"/>
      <c r="P1029" s="162"/>
      <c r="Q1029" s="162"/>
    </row>
    <row r="1030" spans="2:17" x14ac:dyDescent="0.25">
      <c r="B1030" s="120"/>
      <c r="C1030" s="120"/>
      <c r="D1030" s="120"/>
      <c r="E1030" s="162"/>
      <c r="F1030" s="162"/>
      <c r="G1030" s="162"/>
      <c r="H1030" s="162"/>
      <c r="I1030" s="162"/>
      <c r="J1030" s="162"/>
      <c r="K1030" s="162"/>
      <c r="L1030" s="162"/>
      <c r="M1030" s="162"/>
      <c r="N1030" s="162"/>
      <c r="O1030" s="162"/>
      <c r="P1030" s="162"/>
      <c r="Q1030" s="162"/>
    </row>
    <row r="1031" spans="2:17" x14ac:dyDescent="0.25">
      <c r="B1031" s="120"/>
      <c r="C1031" s="120"/>
      <c r="D1031" s="120"/>
      <c r="E1031" s="162"/>
      <c r="F1031" s="162"/>
      <c r="G1031" s="162"/>
      <c r="H1031" s="162"/>
      <c r="I1031" s="162"/>
      <c r="J1031" s="162"/>
      <c r="K1031" s="162"/>
      <c r="L1031" s="162"/>
      <c r="M1031" s="162"/>
      <c r="N1031" s="162"/>
      <c r="O1031" s="162"/>
      <c r="P1031" s="162"/>
      <c r="Q1031" s="162"/>
    </row>
    <row r="1032" spans="2:17" x14ac:dyDescent="0.25">
      <c r="B1032" s="120"/>
      <c r="C1032" s="120"/>
      <c r="D1032" s="120"/>
      <c r="E1032" s="162"/>
      <c r="F1032" s="162"/>
      <c r="G1032" s="162"/>
      <c r="H1032" s="162"/>
      <c r="I1032" s="162"/>
      <c r="J1032" s="162"/>
      <c r="K1032" s="162"/>
      <c r="L1032" s="162"/>
      <c r="M1032" s="162"/>
      <c r="N1032" s="162"/>
      <c r="O1032" s="162"/>
      <c r="P1032" s="162"/>
      <c r="Q1032" s="162"/>
    </row>
    <row r="1033" spans="2:17" x14ac:dyDescent="0.25">
      <c r="B1033" s="120"/>
      <c r="C1033" s="120"/>
      <c r="D1033" s="120"/>
      <c r="E1033" s="162"/>
      <c r="F1033" s="162"/>
      <c r="G1033" s="162"/>
      <c r="H1033" s="162"/>
      <c r="I1033" s="162"/>
      <c r="J1033" s="162"/>
      <c r="K1033" s="162"/>
      <c r="L1033" s="162"/>
      <c r="M1033" s="162"/>
      <c r="N1033" s="162"/>
      <c r="O1033" s="162"/>
      <c r="P1033" s="162"/>
      <c r="Q1033" s="162"/>
    </row>
    <row r="1034" spans="2:17" x14ac:dyDescent="0.25">
      <c r="B1034" s="120"/>
      <c r="C1034" s="120"/>
      <c r="D1034" s="120"/>
      <c r="E1034" s="162"/>
      <c r="F1034" s="162"/>
      <c r="G1034" s="162"/>
      <c r="H1034" s="162"/>
      <c r="I1034" s="162"/>
      <c r="J1034" s="162"/>
      <c r="K1034" s="162"/>
      <c r="L1034" s="162"/>
      <c r="M1034" s="162"/>
      <c r="N1034" s="162"/>
      <c r="O1034" s="162"/>
      <c r="P1034" s="162"/>
      <c r="Q1034" s="162"/>
    </row>
    <row r="1035" spans="2:17" x14ac:dyDescent="0.25">
      <c r="B1035" s="120"/>
      <c r="C1035" s="120"/>
      <c r="D1035" s="120"/>
      <c r="E1035" s="162"/>
      <c r="F1035" s="162"/>
      <c r="G1035" s="162"/>
      <c r="H1035" s="162"/>
      <c r="I1035" s="162"/>
      <c r="J1035" s="162"/>
      <c r="K1035" s="162"/>
      <c r="L1035" s="162"/>
      <c r="M1035" s="162"/>
      <c r="N1035" s="162"/>
      <c r="O1035" s="162"/>
      <c r="P1035" s="162"/>
      <c r="Q1035" s="162"/>
    </row>
    <row r="1036" spans="2:17" x14ac:dyDescent="0.25">
      <c r="B1036" s="120"/>
      <c r="C1036" s="120"/>
      <c r="D1036" s="120"/>
      <c r="E1036" s="162"/>
      <c r="F1036" s="162"/>
      <c r="G1036" s="162"/>
      <c r="H1036" s="162"/>
      <c r="I1036" s="162"/>
      <c r="J1036" s="162"/>
      <c r="K1036" s="162"/>
      <c r="L1036" s="162"/>
      <c r="M1036" s="162"/>
      <c r="N1036" s="162"/>
      <c r="O1036" s="162"/>
      <c r="P1036" s="162"/>
      <c r="Q1036" s="162"/>
    </row>
    <row r="1037" spans="2:17" x14ac:dyDescent="0.25">
      <c r="B1037" s="120"/>
      <c r="C1037" s="120"/>
      <c r="D1037" s="120"/>
      <c r="E1037" s="162"/>
      <c r="F1037" s="162"/>
      <c r="G1037" s="162"/>
      <c r="H1037" s="162"/>
      <c r="I1037" s="162"/>
      <c r="J1037" s="162"/>
      <c r="K1037" s="162"/>
      <c r="L1037" s="162"/>
      <c r="M1037" s="162"/>
      <c r="N1037" s="162"/>
      <c r="O1037" s="162"/>
      <c r="P1037" s="162"/>
      <c r="Q1037" s="162"/>
    </row>
    <row r="1038" spans="2:17" x14ac:dyDescent="0.25">
      <c r="B1038" s="120"/>
      <c r="C1038" s="120"/>
      <c r="D1038" s="120"/>
      <c r="E1038" s="162"/>
      <c r="F1038" s="162"/>
      <c r="G1038" s="162"/>
      <c r="H1038" s="162"/>
      <c r="I1038" s="162"/>
      <c r="J1038" s="162"/>
      <c r="K1038" s="162"/>
      <c r="L1038" s="162"/>
      <c r="M1038" s="162"/>
      <c r="N1038" s="162"/>
      <c r="O1038" s="162"/>
      <c r="P1038" s="162"/>
      <c r="Q1038" s="162"/>
    </row>
    <row r="1039" spans="2:17" x14ac:dyDescent="0.25">
      <c r="B1039" s="120"/>
      <c r="C1039" s="120"/>
      <c r="D1039" s="120"/>
      <c r="E1039" s="162"/>
      <c r="F1039" s="162"/>
      <c r="G1039" s="162"/>
      <c r="H1039" s="162"/>
      <c r="I1039" s="162"/>
      <c r="J1039" s="162"/>
      <c r="K1039" s="162"/>
      <c r="L1039" s="162"/>
      <c r="M1039" s="162"/>
      <c r="N1039" s="162"/>
      <c r="O1039" s="162"/>
      <c r="P1039" s="162"/>
      <c r="Q1039" s="162"/>
    </row>
    <row r="1040" spans="2:17" x14ac:dyDescent="0.25">
      <c r="B1040" s="120"/>
      <c r="C1040" s="120"/>
      <c r="D1040" s="120"/>
      <c r="E1040" s="162"/>
      <c r="F1040" s="162"/>
      <c r="G1040" s="162"/>
      <c r="H1040" s="162"/>
      <c r="I1040" s="162"/>
      <c r="J1040" s="162"/>
      <c r="K1040" s="162"/>
      <c r="L1040" s="162"/>
      <c r="M1040" s="162"/>
      <c r="N1040" s="162"/>
      <c r="O1040" s="162"/>
      <c r="P1040" s="162"/>
      <c r="Q1040" s="162"/>
    </row>
    <row r="1041" spans="2:17" x14ac:dyDescent="0.25">
      <c r="B1041" s="120"/>
      <c r="C1041" s="120"/>
      <c r="D1041" s="120"/>
      <c r="E1041" s="162"/>
      <c r="F1041" s="162"/>
      <c r="G1041" s="162"/>
      <c r="H1041" s="162"/>
      <c r="I1041" s="162"/>
      <c r="J1041" s="162"/>
      <c r="K1041" s="162"/>
      <c r="L1041" s="162"/>
      <c r="M1041" s="162"/>
      <c r="N1041" s="162"/>
      <c r="O1041" s="162"/>
      <c r="P1041" s="162"/>
      <c r="Q1041" s="162"/>
    </row>
    <row r="1042" spans="2:17" x14ac:dyDescent="0.25">
      <c r="B1042" s="120"/>
      <c r="C1042" s="120"/>
      <c r="D1042" s="120"/>
      <c r="E1042" s="162"/>
      <c r="F1042" s="162"/>
      <c r="G1042" s="162"/>
      <c r="H1042" s="162"/>
      <c r="I1042" s="162"/>
      <c r="J1042" s="162"/>
      <c r="K1042" s="162"/>
      <c r="L1042" s="162"/>
      <c r="M1042" s="162"/>
      <c r="N1042" s="162"/>
      <c r="O1042" s="162"/>
      <c r="P1042" s="162"/>
      <c r="Q1042" s="162"/>
    </row>
    <row r="1043" spans="2:17" x14ac:dyDescent="0.25">
      <c r="B1043" s="120"/>
      <c r="C1043" s="120"/>
      <c r="D1043" s="120"/>
      <c r="E1043" s="162"/>
      <c r="F1043" s="162"/>
      <c r="G1043" s="162"/>
      <c r="H1043" s="162"/>
      <c r="I1043" s="162"/>
      <c r="J1043" s="162"/>
      <c r="K1043" s="162"/>
      <c r="L1043" s="162"/>
      <c r="M1043" s="162"/>
      <c r="N1043" s="162"/>
      <c r="O1043" s="162"/>
      <c r="P1043" s="162"/>
      <c r="Q1043" s="162"/>
    </row>
    <row r="1044" spans="2:17" x14ac:dyDescent="0.25">
      <c r="B1044" s="120"/>
      <c r="C1044" s="120"/>
      <c r="D1044" s="120"/>
      <c r="E1044" s="162"/>
      <c r="F1044" s="162"/>
      <c r="G1044" s="162"/>
      <c r="H1044" s="162"/>
      <c r="I1044" s="162"/>
      <c r="J1044" s="162"/>
      <c r="K1044" s="162"/>
      <c r="L1044" s="162"/>
      <c r="M1044" s="162"/>
      <c r="N1044" s="162"/>
      <c r="O1044" s="162"/>
      <c r="P1044" s="162"/>
      <c r="Q1044" s="162"/>
    </row>
    <row r="1045" spans="2:17" x14ac:dyDescent="0.25">
      <c r="B1045" s="120"/>
      <c r="C1045" s="120"/>
      <c r="D1045" s="120"/>
      <c r="E1045" s="162"/>
      <c r="F1045" s="162"/>
      <c r="G1045" s="162"/>
      <c r="H1045" s="162"/>
      <c r="I1045" s="162"/>
      <c r="J1045" s="162"/>
      <c r="K1045" s="162"/>
      <c r="L1045" s="162"/>
      <c r="M1045" s="162"/>
      <c r="N1045" s="162"/>
      <c r="O1045" s="162"/>
      <c r="P1045" s="162"/>
      <c r="Q1045" s="162"/>
    </row>
    <row r="1046" spans="2:17" x14ac:dyDescent="0.25">
      <c r="B1046" s="120"/>
      <c r="C1046" s="120"/>
      <c r="D1046" s="120"/>
      <c r="E1046" s="162"/>
      <c r="F1046" s="162"/>
      <c r="G1046" s="162"/>
      <c r="H1046" s="162"/>
      <c r="I1046" s="162"/>
      <c r="J1046" s="162"/>
      <c r="K1046" s="162"/>
      <c r="L1046" s="162"/>
      <c r="M1046" s="162"/>
      <c r="N1046" s="162"/>
      <c r="O1046" s="162"/>
      <c r="P1046" s="162"/>
      <c r="Q1046" s="162"/>
    </row>
    <row r="1047" spans="2:17" x14ac:dyDescent="0.25">
      <c r="B1047" s="120"/>
      <c r="C1047" s="120"/>
      <c r="D1047" s="120"/>
      <c r="E1047" s="162"/>
      <c r="F1047" s="162"/>
      <c r="G1047" s="162"/>
      <c r="H1047" s="162"/>
      <c r="I1047" s="162"/>
      <c r="J1047" s="162"/>
      <c r="K1047" s="162"/>
      <c r="L1047" s="162"/>
      <c r="M1047" s="162"/>
      <c r="N1047" s="162"/>
      <c r="O1047" s="162"/>
      <c r="P1047" s="162"/>
      <c r="Q1047" s="162"/>
    </row>
    <row r="1048" spans="2:17" x14ac:dyDescent="0.25">
      <c r="B1048" s="120"/>
      <c r="C1048" s="120"/>
      <c r="D1048" s="120"/>
      <c r="E1048" s="162"/>
      <c r="F1048" s="162"/>
      <c r="G1048" s="162"/>
      <c r="H1048" s="162"/>
      <c r="I1048" s="162"/>
      <c r="J1048" s="162"/>
      <c r="K1048" s="162"/>
      <c r="L1048" s="162"/>
      <c r="M1048" s="162"/>
      <c r="N1048" s="162"/>
      <c r="O1048" s="162"/>
      <c r="P1048" s="162"/>
      <c r="Q1048" s="162"/>
    </row>
    <row r="1049" spans="2:17" x14ac:dyDescent="0.25">
      <c r="B1049" s="120"/>
      <c r="C1049" s="120"/>
      <c r="D1049" s="120"/>
      <c r="E1049" s="162"/>
      <c r="F1049" s="162"/>
      <c r="G1049" s="162"/>
      <c r="H1049" s="162"/>
      <c r="I1049" s="162"/>
      <c r="J1049" s="162"/>
      <c r="K1049" s="162"/>
      <c r="L1049" s="162"/>
      <c r="M1049" s="162"/>
      <c r="N1049" s="162"/>
      <c r="O1049" s="162"/>
      <c r="P1049" s="162"/>
      <c r="Q1049" s="162"/>
    </row>
    <row r="1050" spans="2:17" x14ac:dyDescent="0.25">
      <c r="B1050" s="120"/>
      <c r="C1050" s="120"/>
      <c r="D1050" s="120"/>
      <c r="E1050" s="162"/>
      <c r="F1050" s="162"/>
      <c r="G1050" s="162"/>
      <c r="H1050" s="162"/>
      <c r="I1050" s="162"/>
      <c r="J1050" s="162"/>
      <c r="K1050" s="162"/>
      <c r="L1050" s="162"/>
      <c r="M1050" s="162"/>
      <c r="N1050" s="162"/>
      <c r="O1050" s="162"/>
      <c r="P1050" s="162"/>
      <c r="Q1050" s="162"/>
    </row>
    <row r="1051" spans="2:17" x14ac:dyDescent="0.25">
      <c r="B1051" s="120"/>
      <c r="C1051" s="120"/>
      <c r="D1051" s="120"/>
      <c r="E1051" s="162"/>
      <c r="F1051" s="162"/>
      <c r="G1051" s="162"/>
      <c r="H1051" s="162"/>
      <c r="I1051" s="162"/>
      <c r="J1051" s="162"/>
      <c r="K1051" s="162"/>
      <c r="L1051" s="162"/>
      <c r="M1051" s="162"/>
      <c r="N1051" s="162"/>
      <c r="O1051" s="162"/>
      <c r="P1051" s="162"/>
      <c r="Q1051" s="162"/>
    </row>
    <row r="1052" spans="2:17" x14ac:dyDescent="0.25">
      <c r="B1052" s="120"/>
      <c r="C1052" s="120"/>
      <c r="D1052" s="120"/>
      <c r="E1052" s="162"/>
      <c r="F1052" s="162"/>
      <c r="G1052" s="162"/>
      <c r="H1052" s="162"/>
      <c r="I1052" s="162"/>
      <c r="J1052" s="162"/>
      <c r="K1052" s="162"/>
      <c r="L1052" s="162"/>
      <c r="M1052" s="162"/>
      <c r="N1052" s="162"/>
      <c r="O1052" s="162"/>
      <c r="P1052" s="162"/>
      <c r="Q1052" s="162"/>
    </row>
    <row r="1053" spans="2:17" x14ac:dyDescent="0.25">
      <c r="B1053" s="120"/>
      <c r="C1053" s="120"/>
      <c r="D1053" s="120"/>
      <c r="E1053" s="162"/>
      <c r="F1053" s="162"/>
      <c r="G1053" s="162"/>
      <c r="H1053" s="162"/>
      <c r="I1053" s="162"/>
      <c r="J1053" s="162"/>
      <c r="K1053" s="162"/>
      <c r="L1053" s="162"/>
      <c r="M1053" s="162"/>
      <c r="N1053" s="162"/>
      <c r="O1053" s="162"/>
      <c r="P1053" s="162"/>
      <c r="Q1053" s="162"/>
    </row>
    <row r="1054" spans="2:17" x14ac:dyDescent="0.25">
      <c r="B1054" s="120"/>
      <c r="C1054" s="120"/>
      <c r="D1054" s="120"/>
      <c r="E1054" s="162"/>
      <c r="F1054" s="162"/>
      <c r="G1054" s="162"/>
      <c r="H1054" s="162"/>
      <c r="I1054" s="162"/>
      <c r="J1054" s="162"/>
      <c r="K1054" s="162"/>
      <c r="L1054" s="162"/>
      <c r="M1054" s="162"/>
      <c r="N1054" s="162"/>
      <c r="O1054" s="162"/>
      <c r="P1054" s="162"/>
      <c r="Q1054" s="162"/>
    </row>
    <row r="1055" spans="2:17" x14ac:dyDescent="0.25">
      <c r="B1055" s="120"/>
      <c r="C1055" s="120"/>
      <c r="D1055" s="120"/>
      <c r="E1055" s="162"/>
      <c r="F1055" s="162"/>
      <c r="G1055" s="162"/>
      <c r="H1055" s="162"/>
      <c r="I1055" s="162"/>
      <c r="J1055" s="162"/>
      <c r="K1055" s="162"/>
      <c r="L1055" s="162"/>
      <c r="M1055" s="162"/>
      <c r="N1055" s="162"/>
      <c r="O1055" s="162"/>
      <c r="P1055" s="162"/>
      <c r="Q1055" s="162"/>
    </row>
    <row r="1056" spans="2:17" x14ac:dyDescent="0.25">
      <c r="B1056" s="120"/>
      <c r="C1056" s="120"/>
      <c r="D1056" s="120"/>
      <c r="E1056" s="162"/>
      <c r="F1056" s="162"/>
      <c r="G1056" s="162"/>
      <c r="H1056" s="162"/>
      <c r="I1056" s="162"/>
      <c r="J1056" s="162"/>
      <c r="K1056" s="162"/>
      <c r="L1056" s="162"/>
      <c r="M1056" s="162"/>
      <c r="N1056" s="162"/>
      <c r="O1056" s="162"/>
      <c r="P1056" s="162"/>
      <c r="Q1056" s="162"/>
    </row>
    <row r="1057" spans="2:17" x14ac:dyDescent="0.25">
      <c r="B1057" s="120"/>
      <c r="C1057" s="120"/>
      <c r="D1057" s="120"/>
      <c r="E1057" s="162"/>
      <c r="F1057" s="162"/>
      <c r="G1057" s="162"/>
      <c r="H1057" s="162"/>
      <c r="I1057" s="162"/>
      <c r="J1057" s="162"/>
      <c r="K1057" s="162"/>
      <c r="L1057" s="162"/>
      <c r="M1057" s="162"/>
      <c r="N1057" s="162"/>
      <c r="O1057" s="162"/>
      <c r="P1057" s="162"/>
      <c r="Q1057" s="162"/>
    </row>
    <row r="1058" spans="2:17" x14ac:dyDescent="0.25">
      <c r="B1058" s="120"/>
      <c r="C1058" s="120"/>
      <c r="D1058" s="120"/>
      <c r="E1058" s="162"/>
      <c r="F1058" s="162"/>
      <c r="G1058" s="162"/>
      <c r="H1058" s="162"/>
      <c r="I1058" s="162"/>
      <c r="J1058" s="162"/>
      <c r="K1058" s="162"/>
      <c r="L1058" s="162"/>
      <c r="M1058" s="162"/>
      <c r="N1058" s="162"/>
      <c r="O1058" s="162"/>
      <c r="P1058" s="162"/>
      <c r="Q1058" s="162"/>
    </row>
    <row r="1059" spans="2:17" x14ac:dyDescent="0.25">
      <c r="B1059" s="120"/>
      <c r="C1059" s="120"/>
      <c r="D1059" s="120"/>
      <c r="E1059" s="162"/>
      <c r="F1059" s="162"/>
      <c r="G1059" s="162"/>
      <c r="H1059" s="162"/>
      <c r="I1059" s="162"/>
      <c r="J1059" s="162"/>
      <c r="K1059" s="162"/>
      <c r="L1059" s="162"/>
      <c r="M1059" s="162"/>
      <c r="N1059" s="162"/>
      <c r="O1059" s="162"/>
      <c r="P1059" s="162"/>
      <c r="Q1059" s="162"/>
    </row>
    <row r="1060" spans="2:17" x14ac:dyDescent="0.25">
      <c r="B1060" s="120"/>
      <c r="C1060" s="120"/>
      <c r="D1060" s="120"/>
      <c r="E1060" s="162"/>
      <c r="F1060" s="162"/>
      <c r="G1060" s="162"/>
      <c r="H1060" s="162"/>
      <c r="I1060" s="162"/>
      <c r="J1060" s="162"/>
      <c r="K1060" s="162"/>
      <c r="L1060" s="162"/>
      <c r="M1060" s="162"/>
      <c r="N1060" s="162"/>
      <c r="O1060" s="162"/>
      <c r="P1060" s="162"/>
      <c r="Q1060" s="162"/>
    </row>
    <row r="1061" spans="2:17" x14ac:dyDescent="0.25">
      <c r="B1061" s="120"/>
      <c r="C1061" s="120"/>
      <c r="D1061" s="120"/>
      <c r="E1061" s="162"/>
      <c r="F1061" s="162"/>
      <c r="G1061" s="162"/>
      <c r="H1061" s="162"/>
      <c r="I1061" s="162"/>
      <c r="J1061" s="162"/>
      <c r="K1061" s="162"/>
      <c r="L1061" s="162"/>
      <c r="M1061" s="162"/>
      <c r="N1061" s="162"/>
      <c r="O1061" s="162"/>
      <c r="P1061" s="162"/>
      <c r="Q1061" s="162"/>
    </row>
    <row r="1062" spans="2:17" x14ac:dyDescent="0.25">
      <c r="B1062" s="120"/>
      <c r="C1062" s="120"/>
      <c r="D1062" s="120"/>
      <c r="E1062" s="162"/>
      <c r="F1062" s="162"/>
      <c r="G1062" s="162"/>
      <c r="H1062" s="162"/>
      <c r="I1062" s="162"/>
      <c r="J1062" s="162"/>
      <c r="K1062" s="162"/>
      <c r="L1062" s="162"/>
      <c r="M1062" s="162"/>
      <c r="N1062" s="162"/>
      <c r="O1062" s="162"/>
      <c r="P1062" s="162"/>
      <c r="Q1062" s="162"/>
    </row>
    <row r="1063" spans="2:17" x14ac:dyDescent="0.25">
      <c r="B1063" s="120"/>
      <c r="C1063" s="120"/>
      <c r="D1063" s="120"/>
      <c r="E1063" s="162"/>
      <c r="F1063" s="162"/>
      <c r="G1063" s="162"/>
      <c r="H1063" s="162"/>
      <c r="I1063" s="162"/>
      <c r="J1063" s="162"/>
      <c r="K1063" s="162"/>
      <c r="L1063" s="162"/>
      <c r="M1063" s="162"/>
      <c r="N1063" s="162"/>
      <c r="O1063" s="162"/>
      <c r="P1063" s="162"/>
      <c r="Q1063" s="162"/>
    </row>
    <row r="1064" spans="2:17" x14ac:dyDescent="0.25">
      <c r="B1064" s="120"/>
      <c r="C1064" s="120"/>
      <c r="D1064" s="120"/>
      <c r="E1064" s="162"/>
      <c r="F1064" s="162"/>
      <c r="G1064" s="162"/>
      <c r="H1064" s="162"/>
      <c r="I1064" s="162"/>
      <c r="J1064" s="162"/>
      <c r="K1064" s="162"/>
      <c r="L1064" s="162"/>
      <c r="M1064" s="162"/>
      <c r="N1064" s="162"/>
      <c r="O1064" s="162"/>
      <c r="P1064" s="162"/>
      <c r="Q1064" s="162"/>
    </row>
    <row r="1065" spans="2:17" x14ac:dyDescent="0.25">
      <c r="B1065" s="120"/>
      <c r="C1065" s="120"/>
      <c r="D1065" s="120"/>
      <c r="E1065" s="162"/>
      <c r="F1065" s="162"/>
      <c r="G1065" s="162"/>
      <c r="H1065" s="162"/>
      <c r="I1065" s="162"/>
      <c r="J1065" s="162"/>
      <c r="K1065" s="162"/>
      <c r="L1065" s="162"/>
      <c r="M1065" s="162"/>
      <c r="N1065" s="162"/>
      <c r="O1065" s="162"/>
      <c r="P1065" s="162"/>
      <c r="Q1065" s="162"/>
    </row>
    <row r="1066" spans="2:17" x14ac:dyDescent="0.25">
      <c r="B1066" s="120"/>
      <c r="C1066" s="120"/>
      <c r="D1066" s="120"/>
      <c r="E1066" s="162"/>
      <c r="F1066" s="162"/>
      <c r="G1066" s="162"/>
      <c r="H1066" s="162"/>
      <c r="I1066" s="162"/>
      <c r="J1066" s="162"/>
      <c r="K1066" s="162"/>
      <c r="L1066" s="162"/>
      <c r="M1066" s="162"/>
      <c r="N1066" s="162"/>
      <c r="O1066" s="162"/>
      <c r="P1066" s="162"/>
      <c r="Q1066" s="162"/>
    </row>
    <row r="1067" spans="2:17" x14ac:dyDescent="0.25">
      <c r="B1067" s="120"/>
      <c r="C1067" s="120"/>
      <c r="D1067" s="120"/>
      <c r="E1067" s="162"/>
      <c r="F1067" s="162"/>
      <c r="G1067" s="162"/>
      <c r="H1067" s="162"/>
      <c r="I1067" s="162"/>
      <c r="J1067" s="162"/>
      <c r="K1067" s="162"/>
      <c r="L1067" s="162"/>
      <c r="M1067" s="162"/>
      <c r="N1067" s="162"/>
      <c r="O1067" s="162"/>
      <c r="P1067" s="162"/>
      <c r="Q1067" s="162"/>
    </row>
    <row r="1068" spans="2:17" x14ac:dyDescent="0.25">
      <c r="B1068" s="120"/>
      <c r="C1068" s="120"/>
      <c r="D1068" s="120"/>
      <c r="E1068" s="162"/>
      <c r="F1068" s="162"/>
      <c r="G1068" s="162"/>
      <c r="H1068" s="162"/>
      <c r="I1068" s="162"/>
      <c r="J1068" s="162"/>
      <c r="K1068" s="162"/>
      <c r="L1068" s="162"/>
      <c r="M1068" s="162"/>
      <c r="N1068" s="162"/>
      <c r="O1068" s="162"/>
      <c r="P1068" s="162"/>
      <c r="Q1068" s="162"/>
    </row>
    <row r="1069" spans="2:17" x14ac:dyDescent="0.25">
      <c r="B1069" s="120"/>
      <c r="C1069" s="120"/>
      <c r="D1069" s="120"/>
      <c r="E1069" s="162"/>
      <c r="F1069" s="162"/>
      <c r="G1069" s="162"/>
      <c r="H1069" s="162"/>
      <c r="I1069" s="162"/>
      <c r="J1069" s="162"/>
      <c r="K1069" s="162"/>
      <c r="L1069" s="162"/>
      <c r="M1069" s="162"/>
      <c r="N1069" s="162"/>
      <c r="O1069" s="162"/>
      <c r="P1069" s="162"/>
      <c r="Q1069" s="162"/>
    </row>
    <row r="1070" spans="2:17" x14ac:dyDescent="0.25">
      <c r="B1070" s="120"/>
      <c r="C1070" s="120"/>
      <c r="D1070" s="120"/>
      <c r="E1070" s="162"/>
      <c r="F1070" s="162"/>
      <c r="G1070" s="162"/>
      <c r="H1070" s="162"/>
      <c r="I1070" s="162"/>
      <c r="J1070" s="162"/>
      <c r="K1070" s="162"/>
      <c r="L1070" s="162"/>
      <c r="M1070" s="162"/>
      <c r="N1070" s="162"/>
      <c r="O1070" s="162"/>
      <c r="P1070" s="162"/>
      <c r="Q1070" s="162"/>
    </row>
    <row r="1071" spans="2:17" x14ac:dyDescent="0.25">
      <c r="B1071" s="120"/>
      <c r="C1071" s="120"/>
      <c r="D1071" s="120"/>
      <c r="E1071" s="162"/>
      <c r="F1071" s="162"/>
      <c r="G1071" s="162"/>
      <c r="H1071" s="162"/>
      <c r="I1071" s="162"/>
      <c r="J1071" s="162"/>
      <c r="K1071" s="162"/>
      <c r="L1071" s="162"/>
      <c r="M1071" s="162"/>
      <c r="N1071" s="162"/>
      <c r="O1071" s="162"/>
      <c r="P1071" s="162"/>
      <c r="Q1071" s="162"/>
    </row>
    <row r="1072" spans="2:17" x14ac:dyDescent="0.25">
      <c r="B1072" s="120"/>
      <c r="C1072" s="120"/>
      <c r="D1072" s="120"/>
      <c r="E1072" s="162"/>
      <c r="F1072" s="162"/>
      <c r="G1072" s="162"/>
      <c r="H1072" s="162"/>
      <c r="I1072" s="162"/>
      <c r="J1072" s="162"/>
      <c r="K1072" s="162"/>
      <c r="L1072" s="162"/>
      <c r="M1072" s="162"/>
      <c r="N1072" s="162"/>
      <c r="O1072" s="162"/>
      <c r="P1072" s="162"/>
      <c r="Q1072" s="162"/>
    </row>
    <row r="1073" spans="2:17" x14ac:dyDescent="0.25">
      <c r="B1073" s="120"/>
      <c r="C1073" s="120"/>
      <c r="D1073" s="120"/>
      <c r="E1073" s="162"/>
      <c r="F1073" s="162"/>
      <c r="G1073" s="162"/>
      <c r="H1073" s="162"/>
      <c r="I1073" s="162"/>
      <c r="J1073" s="162"/>
      <c r="K1073" s="162"/>
      <c r="L1073" s="162"/>
      <c r="M1073" s="162"/>
      <c r="N1073" s="162"/>
      <c r="O1073" s="162"/>
      <c r="P1073" s="162"/>
      <c r="Q1073" s="162"/>
    </row>
    <row r="1074" spans="2:17" x14ac:dyDescent="0.25">
      <c r="B1074" s="120"/>
      <c r="C1074" s="120"/>
      <c r="D1074" s="120"/>
      <c r="E1074" s="162"/>
      <c r="F1074" s="162"/>
      <c r="G1074" s="162"/>
      <c r="H1074" s="162"/>
      <c r="I1074" s="162"/>
      <c r="J1074" s="162"/>
      <c r="K1074" s="162"/>
      <c r="L1074" s="162"/>
      <c r="M1074" s="162"/>
      <c r="N1074" s="162"/>
      <c r="O1074" s="162"/>
      <c r="P1074" s="162"/>
      <c r="Q1074" s="162"/>
    </row>
    <row r="1075" spans="2:17" x14ac:dyDescent="0.25">
      <c r="B1075" s="120"/>
      <c r="C1075" s="120"/>
      <c r="D1075" s="120"/>
      <c r="E1075" s="162"/>
      <c r="F1075" s="162"/>
      <c r="G1075" s="162"/>
      <c r="H1075" s="162"/>
      <c r="I1075" s="162"/>
      <c r="J1075" s="162"/>
      <c r="K1075" s="162"/>
      <c r="L1075" s="162"/>
      <c r="M1075" s="162"/>
      <c r="N1075" s="162"/>
      <c r="O1075" s="162"/>
      <c r="P1075" s="162"/>
      <c r="Q1075" s="162"/>
    </row>
    <row r="1076" spans="2:17" x14ac:dyDescent="0.25">
      <c r="B1076" s="120"/>
      <c r="C1076" s="120"/>
      <c r="D1076" s="120"/>
      <c r="E1076" s="162"/>
      <c r="F1076" s="162"/>
      <c r="G1076" s="162"/>
      <c r="H1076" s="162"/>
      <c r="I1076" s="162"/>
      <c r="J1076" s="162"/>
      <c r="K1076" s="162"/>
      <c r="L1076" s="162"/>
      <c r="M1076" s="162"/>
      <c r="N1076" s="162"/>
      <c r="O1076" s="162"/>
      <c r="P1076" s="162"/>
      <c r="Q1076" s="162"/>
    </row>
    <row r="1077" spans="2:17" x14ac:dyDescent="0.25">
      <c r="B1077" s="120"/>
      <c r="C1077" s="120"/>
      <c r="D1077" s="120"/>
      <c r="E1077" s="162"/>
      <c r="F1077" s="162"/>
      <c r="G1077" s="162"/>
      <c r="H1077" s="162"/>
      <c r="I1077" s="162"/>
      <c r="J1077" s="162"/>
      <c r="K1077" s="162"/>
      <c r="L1077" s="162"/>
      <c r="M1077" s="162"/>
      <c r="N1077" s="162"/>
      <c r="O1077" s="162"/>
      <c r="P1077" s="162"/>
      <c r="Q1077" s="162"/>
    </row>
    <row r="1078" spans="2:17" x14ac:dyDescent="0.25">
      <c r="B1078" s="120"/>
      <c r="C1078" s="120"/>
      <c r="D1078" s="120"/>
      <c r="E1078" s="162"/>
      <c r="F1078" s="162"/>
      <c r="G1078" s="162"/>
      <c r="H1078" s="162"/>
      <c r="I1078" s="162"/>
      <c r="J1078" s="162"/>
      <c r="K1078" s="162"/>
      <c r="L1078" s="162"/>
      <c r="M1078" s="162"/>
      <c r="N1078" s="162"/>
      <c r="O1078" s="162"/>
      <c r="P1078" s="162"/>
      <c r="Q1078" s="162"/>
    </row>
    <row r="1079" spans="2:17" x14ac:dyDescent="0.25">
      <c r="B1079" s="120"/>
      <c r="C1079" s="120"/>
      <c r="D1079" s="120"/>
      <c r="E1079" s="162"/>
      <c r="F1079" s="162"/>
      <c r="G1079" s="162"/>
      <c r="H1079" s="162"/>
      <c r="I1079" s="162"/>
      <c r="J1079" s="162"/>
      <c r="K1079" s="162"/>
      <c r="L1079" s="162"/>
      <c r="M1079" s="162"/>
      <c r="N1079" s="162"/>
      <c r="O1079" s="162"/>
      <c r="P1079" s="162"/>
      <c r="Q1079" s="162"/>
    </row>
    <row r="1080" spans="2:17" x14ac:dyDescent="0.25">
      <c r="B1080" s="120"/>
      <c r="C1080" s="120"/>
      <c r="D1080" s="120"/>
      <c r="E1080" s="162"/>
      <c r="F1080" s="162"/>
      <c r="G1080" s="162"/>
      <c r="H1080" s="162"/>
      <c r="I1080" s="162"/>
      <c r="J1080" s="162"/>
      <c r="K1080" s="162"/>
      <c r="L1080" s="162"/>
      <c r="M1080" s="162"/>
      <c r="N1080" s="162"/>
      <c r="O1080" s="162"/>
      <c r="P1080" s="162"/>
      <c r="Q1080" s="162"/>
    </row>
    <row r="1081" spans="2:17" x14ac:dyDescent="0.25">
      <c r="B1081" s="120"/>
      <c r="C1081" s="120"/>
      <c r="D1081" s="120"/>
      <c r="E1081" s="162"/>
      <c r="F1081" s="162"/>
      <c r="G1081" s="162"/>
      <c r="H1081" s="162"/>
      <c r="I1081" s="162"/>
      <c r="J1081" s="162"/>
      <c r="K1081" s="162"/>
      <c r="L1081" s="162"/>
      <c r="M1081" s="162"/>
      <c r="N1081" s="162"/>
      <c r="O1081" s="162"/>
      <c r="P1081" s="162"/>
      <c r="Q1081" s="162"/>
    </row>
    <row r="1082" spans="2:17" x14ac:dyDescent="0.25">
      <c r="B1082" s="120"/>
      <c r="C1082" s="120"/>
      <c r="D1082" s="120"/>
      <c r="E1082" s="162"/>
      <c r="F1082" s="162"/>
      <c r="G1082" s="162"/>
      <c r="H1082" s="162"/>
      <c r="I1082" s="162"/>
      <c r="J1082" s="162"/>
      <c r="K1082" s="162"/>
      <c r="L1082" s="162"/>
      <c r="M1082" s="162"/>
      <c r="N1082" s="162"/>
      <c r="O1082" s="162"/>
      <c r="P1082" s="162"/>
      <c r="Q1082" s="162"/>
    </row>
    <row r="1083" spans="2:17" x14ac:dyDescent="0.25">
      <c r="B1083" s="120"/>
      <c r="C1083" s="120"/>
      <c r="D1083" s="120"/>
      <c r="E1083" s="162"/>
      <c r="F1083" s="162"/>
      <c r="G1083" s="162"/>
      <c r="H1083" s="162"/>
      <c r="I1083" s="162"/>
      <c r="J1083" s="162"/>
      <c r="K1083" s="162"/>
      <c r="L1083" s="162"/>
      <c r="M1083" s="162"/>
      <c r="N1083" s="162"/>
      <c r="O1083" s="162"/>
      <c r="P1083" s="162"/>
      <c r="Q1083" s="162"/>
    </row>
    <row r="1084" spans="2:17" x14ac:dyDescent="0.25">
      <c r="B1084" s="120"/>
      <c r="C1084" s="120"/>
      <c r="D1084" s="120"/>
      <c r="E1084" s="162"/>
      <c r="F1084" s="162"/>
      <c r="G1084" s="162"/>
      <c r="H1084" s="162"/>
      <c r="I1084" s="162"/>
      <c r="J1084" s="162"/>
      <c r="K1084" s="162"/>
      <c r="L1084" s="162"/>
      <c r="M1084" s="162"/>
      <c r="N1084" s="162"/>
      <c r="O1084" s="162"/>
      <c r="P1084" s="162"/>
      <c r="Q1084" s="162"/>
    </row>
    <row r="1085" spans="2:17" x14ac:dyDescent="0.25">
      <c r="B1085" s="120"/>
      <c r="C1085" s="120"/>
      <c r="D1085" s="120"/>
      <c r="E1085" s="162"/>
      <c r="F1085" s="162"/>
      <c r="G1085" s="162"/>
      <c r="H1085" s="162"/>
      <c r="I1085" s="162"/>
      <c r="J1085" s="162"/>
      <c r="K1085" s="162"/>
      <c r="L1085" s="162"/>
      <c r="M1085" s="162"/>
      <c r="N1085" s="162"/>
      <c r="O1085" s="162"/>
      <c r="P1085" s="162"/>
      <c r="Q1085" s="162"/>
    </row>
    <row r="1086" spans="2:17" x14ac:dyDescent="0.25">
      <c r="B1086" s="120"/>
      <c r="C1086" s="120"/>
      <c r="D1086" s="120"/>
      <c r="E1086" s="162"/>
      <c r="F1086" s="162"/>
      <c r="G1086" s="162"/>
      <c r="H1086" s="162"/>
      <c r="I1086" s="162"/>
      <c r="J1086" s="162"/>
      <c r="K1086" s="162"/>
      <c r="L1086" s="162"/>
      <c r="M1086" s="162"/>
      <c r="N1086" s="162"/>
      <c r="O1086" s="162"/>
      <c r="P1086" s="162"/>
      <c r="Q1086" s="162"/>
    </row>
    <row r="1087" spans="2:17" x14ac:dyDescent="0.25">
      <c r="B1087" s="120"/>
      <c r="C1087" s="120"/>
      <c r="D1087" s="120"/>
      <c r="E1087" s="162"/>
      <c r="F1087" s="162"/>
      <c r="G1087" s="162"/>
      <c r="H1087" s="162"/>
      <c r="I1087" s="162"/>
      <c r="J1087" s="162"/>
      <c r="K1087" s="162"/>
      <c r="L1087" s="162"/>
      <c r="M1087" s="162"/>
      <c r="N1087" s="162"/>
      <c r="O1087" s="162"/>
      <c r="P1087" s="162"/>
      <c r="Q1087" s="162"/>
    </row>
    <row r="1088" spans="2:17" x14ac:dyDescent="0.25">
      <c r="B1088" s="120"/>
      <c r="C1088" s="120"/>
      <c r="D1088" s="120"/>
      <c r="E1088" s="162"/>
      <c r="F1088" s="162"/>
      <c r="G1088" s="162"/>
      <c r="H1088" s="162"/>
      <c r="I1088" s="162"/>
      <c r="J1088" s="162"/>
      <c r="K1088" s="162"/>
      <c r="L1088" s="162"/>
      <c r="M1088" s="162"/>
      <c r="N1088" s="162"/>
      <c r="O1088" s="162"/>
      <c r="P1088" s="162"/>
      <c r="Q1088" s="162"/>
    </row>
    <row r="1089" spans="2:17" x14ac:dyDescent="0.25">
      <c r="B1089" s="120"/>
      <c r="C1089" s="120"/>
      <c r="D1089" s="120"/>
      <c r="E1089" s="162"/>
      <c r="F1089" s="162"/>
      <c r="G1089" s="162"/>
      <c r="H1089" s="162"/>
      <c r="I1089" s="162"/>
      <c r="J1089" s="162"/>
      <c r="K1089" s="162"/>
      <c r="L1089" s="162"/>
      <c r="M1089" s="162"/>
      <c r="N1089" s="162"/>
      <c r="O1089" s="162"/>
      <c r="P1089" s="162"/>
      <c r="Q1089" s="162"/>
    </row>
    <row r="1090" spans="2:17" x14ac:dyDescent="0.25">
      <c r="B1090" s="120"/>
      <c r="C1090" s="120"/>
      <c r="D1090" s="120"/>
      <c r="E1090" s="162"/>
      <c r="F1090" s="162"/>
      <c r="G1090" s="162"/>
      <c r="H1090" s="162"/>
      <c r="I1090" s="162"/>
      <c r="J1090" s="162"/>
      <c r="K1090" s="162"/>
      <c r="L1090" s="162"/>
      <c r="M1090" s="162"/>
      <c r="N1090" s="162"/>
      <c r="O1090" s="162"/>
      <c r="P1090" s="162"/>
      <c r="Q1090" s="162"/>
    </row>
    <row r="1091" spans="2:17" x14ac:dyDescent="0.25">
      <c r="B1091" s="120"/>
      <c r="C1091" s="120"/>
      <c r="D1091" s="120"/>
      <c r="E1091" s="162"/>
      <c r="F1091" s="162"/>
      <c r="G1091" s="162"/>
      <c r="H1091" s="162"/>
      <c r="I1091" s="162"/>
      <c r="J1091" s="162"/>
      <c r="K1091" s="162"/>
      <c r="L1091" s="162"/>
      <c r="M1091" s="162"/>
      <c r="N1091" s="162"/>
      <c r="O1091" s="162"/>
      <c r="P1091" s="162"/>
      <c r="Q1091" s="162"/>
    </row>
    <row r="1092" spans="2:17" x14ac:dyDescent="0.25">
      <c r="B1092" s="120"/>
      <c r="C1092" s="120"/>
      <c r="D1092" s="120"/>
      <c r="E1092" s="162"/>
      <c r="F1092" s="162"/>
      <c r="G1092" s="162"/>
      <c r="H1092" s="162"/>
      <c r="I1092" s="162"/>
      <c r="J1092" s="162"/>
      <c r="K1092" s="162"/>
      <c r="L1092" s="162"/>
      <c r="M1092" s="162"/>
      <c r="N1092" s="162"/>
      <c r="O1092" s="162"/>
      <c r="P1092" s="162"/>
      <c r="Q1092" s="162"/>
    </row>
    <row r="1093" spans="2:17" x14ac:dyDescent="0.25">
      <c r="B1093" s="120"/>
      <c r="C1093" s="120"/>
      <c r="D1093" s="120"/>
      <c r="E1093" s="162"/>
      <c r="F1093" s="162"/>
      <c r="G1093" s="162"/>
      <c r="H1093" s="162"/>
      <c r="I1093" s="162"/>
      <c r="J1093" s="162"/>
      <c r="K1093" s="162"/>
      <c r="L1093" s="162"/>
      <c r="M1093" s="162"/>
      <c r="N1093" s="162"/>
      <c r="O1093" s="162"/>
      <c r="P1093" s="162"/>
      <c r="Q1093" s="162"/>
    </row>
    <row r="1094" spans="2:17" x14ac:dyDescent="0.25">
      <c r="B1094" s="120"/>
      <c r="C1094" s="120"/>
      <c r="D1094" s="120"/>
      <c r="E1094" s="162"/>
      <c r="F1094" s="162"/>
      <c r="G1094" s="162"/>
      <c r="H1094" s="162"/>
      <c r="I1094" s="162"/>
      <c r="J1094" s="162"/>
      <c r="K1094" s="162"/>
      <c r="L1094" s="162"/>
      <c r="M1094" s="162"/>
      <c r="N1094" s="162"/>
      <c r="O1094" s="162"/>
      <c r="P1094" s="162"/>
      <c r="Q1094" s="162"/>
    </row>
    <row r="1095" spans="2:17" x14ac:dyDescent="0.25">
      <c r="B1095" s="120"/>
      <c r="C1095" s="120"/>
      <c r="D1095" s="120"/>
      <c r="E1095" s="162"/>
      <c r="F1095" s="162"/>
      <c r="G1095" s="162"/>
      <c r="H1095" s="162"/>
      <c r="I1095" s="162"/>
      <c r="J1095" s="162"/>
      <c r="K1095" s="162"/>
      <c r="L1095" s="162"/>
      <c r="M1095" s="162"/>
      <c r="N1095" s="162"/>
      <c r="O1095" s="162"/>
      <c r="P1095" s="162"/>
      <c r="Q1095" s="162"/>
    </row>
    <row r="1096" spans="2:17" x14ac:dyDescent="0.25">
      <c r="B1096" s="120"/>
      <c r="C1096" s="120"/>
      <c r="D1096" s="120"/>
      <c r="E1096" s="162"/>
      <c r="F1096" s="162"/>
      <c r="G1096" s="162"/>
      <c r="H1096" s="162"/>
      <c r="I1096" s="162"/>
      <c r="J1096" s="162"/>
      <c r="K1096" s="162"/>
      <c r="L1096" s="162"/>
      <c r="M1096" s="162"/>
      <c r="N1096" s="162"/>
      <c r="O1096" s="162"/>
      <c r="P1096" s="162"/>
      <c r="Q1096" s="162"/>
    </row>
    <row r="1097" spans="2:17" x14ac:dyDescent="0.25">
      <c r="B1097" s="120"/>
      <c r="C1097" s="120"/>
      <c r="D1097" s="120"/>
      <c r="E1097" s="162"/>
      <c r="F1097" s="162"/>
      <c r="G1097" s="162"/>
      <c r="H1097" s="162"/>
      <c r="I1097" s="162"/>
      <c r="J1097" s="162"/>
      <c r="K1097" s="162"/>
      <c r="L1097" s="162"/>
      <c r="M1097" s="162"/>
      <c r="N1097" s="162"/>
      <c r="O1097" s="162"/>
      <c r="P1097" s="162"/>
      <c r="Q1097" s="162"/>
    </row>
    <row r="1098" spans="2:17" x14ac:dyDescent="0.25">
      <c r="B1098" s="120"/>
      <c r="C1098" s="120"/>
      <c r="D1098" s="120"/>
      <c r="E1098" s="162"/>
      <c r="F1098" s="162"/>
      <c r="G1098" s="162"/>
      <c r="H1098" s="162"/>
      <c r="I1098" s="162"/>
      <c r="J1098" s="162"/>
      <c r="K1098" s="162"/>
      <c r="L1098" s="162"/>
      <c r="M1098" s="162"/>
      <c r="N1098" s="162"/>
      <c r="O1098" s="162"/>
      <c r="P1098" s="162"/>
      <c r="Q1098" s="162"/>
    </row>
    <row r="1099" spans="2:17" x14ac:dyDescent="0.25">
      <c r="B1099" s="120"/>
      <c r="C1099" s="120"/>
      <c r="D1099" s="120"/>
      <c r="E1099" s="162"/>
      <c r="F1099" s="162"/>
      <c r="G1099" s="162"/>
      <c r="H1099" s="162"/>
      <c r="I1099" s="162"/>
      <c r="J1099" s="162"/>
      <c r="K1099" s="162"/>
      <c r="L1099" s="162"/>
      <c r="M1099" s="162"/>
      <c r="N1099" s="162"/>
      <c r="O1099" s="162"/>
      <c r="P1099" s="162"/>
      <c r="Q1099" s="162"/>
    </row>
    <row r="1100" spans="2:17" x14ac:dyDescent="0.25">
      <c r="B1100" s="120"/>
      <c r="C1100" s="120"/>
      <c r="D1100" s="120"/>
      <c r="E1100" s="162"/>
      <c r="F1100" s="162"/>
      <c r="G1100" s="162"/>
      <c r="H1100" s="162"/>
      <c r="I1100" s="162"/>
      <c r="J1100" s="162"/>
      <c r="K1100" s="162"/>
      <c r="L1100" s="162"/>
      <c r="M1100" s="162"/>
      <c r="N1100" s="162"/>
      <c r="O1100" s="162"/>
      <c r="P1100" s="162"/>
      <c r="Q1100" s="162"/>
    </row>
    <row r="1101" spans="2:17" x14ac:dyDescent="0.25">
      <c r="B1101" s="120"/>
      <c r="C1101" s="120"/>
      <c r="D1101" s="120"/>
      <c r="E1101" s="162"/>
      <c r="F1101" s="162"/>
      <c r="G1101" s="162"/>
      <c r="H1101" s="162"/>
      <c r="I1101" s="162"/>
      <c r="J1101" s="162"/>
      <c r="K1101" s="162"/>
      <c r="L1101" s="162"/>
      <c r="M1101" s="162"/>
      <c r="N1101" s="162"/>
      <c r="O1101" s="162"/>
      <c r="P1101" s="162"/>
      <c r="Q1101" s="162"/>
    </row>
    <row r="1102" spans="2:17" x14ac:dyDescent="0.25">
      <c r="B1102" s="120"/>
      <c r="C1102" s="120"/>
      <c r="D1102" s="120"/>
      <c r="E1102" s="162"/>
      <c r="F1102" s="162"/>
      <c r="G1102" s="162"/>
      <c r="H1102" s="162"/>
      <c r="I1102" s="162"/>
      <c r="J1102" s="162"/>
      <c r="K1102" s="162"/>
      <c r="L1102" s="162"/>
      <c r="M1102" s="162"/>
      <c r="N1102" s="162"/>
      <c r="O1102" s="162"/>
      <c r="P1102" s="162"/>
      <c r="Q1102" s="162"/>
    </row>
    <row r="1103" spans="2:17" x14ac:dyDescent="0.25">
      <c r="B1103" s="120"/>
      <c r="C1103" s="120"/>
      <c r="D1103" s="120"/>
      <c r="E1103" s="162"/>
      <c r="F1103" s="162"/>
      <c r="G1103" s="162"/>
      <c r="H1103" s="162"/>
      <c r="I1103" s="162"/>
      <c r="J1103" s="162"/>
      <c r="K1103" s="162"/>
      <c r="L1103" s="162"/>
      <c r="M1103" s="162"/>
      <c r="N1103" s="162"/>
      <c r="O1103" s="162"/>
      <c r="P1103" s="162"/>
      <c r="Q1103" s="162"/>
    </row>
    <row r="1104" spans="2:17" x14ac:dyDescent="0.25">
      <c r="B1104" s="120"/>
      <c r="C1104" s="120"/>
      <c r="D1104" s="120"/>
      <c r="E1104" s="162"/>
      <c r="F1104" s="162"/>
      <c r="G1104" s="162"/>
      <c r="H1104" s="162"/>
      <c r="I1104" s="162"/>
      <c r="J1104" s="162"/>
      <c r="K1104" s="162"/>
      <c r="L1104" s="162"/>
      <c r="M1104" s="162"/>
      <c r="N1104" s="162"/>
      <c r="O1104" s="162"/>
      <c r="P1104" s="162"/>
      <c r="Q1104" s="162"/>
    </row>
    <row r="1105" spans="2:17" x14ac:dyDescent="0.25">
      <c r="B1105" s="120"/>
      <c r="C1105" s="120"/>
      <c r="D1105" s="120"/>
      <c r="E1105" s="162"/>
      <c r="F1105" s="162"/>
      <c r="G1105" s="162"/>
      <c r="H1105" s="162"/>
      <c r="I1105" s="162"/>
      <c r="J1105" s="162"/>
      <c r="K1105" s="162"/>
      <c r="L1105" s="162"/>
      <c r="M1105" s="162"/>
      <c r="N1105" s="162"/>
      <c r="O1105" s="162"/>
      <c r="P1105" s="162"/>
      <c r="Q1105" s="162"/>
    </row>
    <row r="1106" spans="2:17" x14ac:dyDescent="0.25">
      <c r="B1106" s="120"/>
      <c r="C1106" s="120"/>
      <c r="D1106" s="120"/>
      <c r="E1106" s="162"/>
      <c r="F1106" s="162"/>
      <c r="G1106" s="162"/>
      <c r="H1106" s="162"/>
      <c r="I1106" s="162"/>
      <c r="J1106" s="162"/>
      <c r="K1106" s="162"/>
      <c r="L1106" s="162"/>
      <c r="M1106" s="162"/>
      <c r="N1106" s="162"/>
      <c r="O1106" s="162"/>
      <c r="P1106" s="162"/>
      <c r="Q1106" s="162"/>
    </row>
    <row r="1107" spans="2:17" x14ac:dyDescent="0.25">
      <c r="B1107" s="120"/>
      <c r="C1107" s="120"/>
      <c r="D1107" s="120"/>
      <c r="E1107" s="162"/>
      <c r="F1107" s="162"/>
      <c r="G1107" s="162"/>
      <c r="H1107" s="162"/>
      <c r="I1107" s="162"/>
      <c r="J1107" s="162"/>
      <c r="K1107" s="162"/>
      <c r="L1107" s="162"/>
      <c r="M1107" s="162"/>
      <c r="N1107" s="162"/>
      <c r="O1107" s="162"/>
      <c r="P1107" s="162"/>
      <c r="Q1107" s="162"/>
    </row>
    <row r="1108" spans="2:17" x14ac:dyDescent="0.25">
      <c r="B1108" s="120"/>
      <c r="C1108" s="120"/>
      <c r="D1108" s="120"/>
      <c r="E1108" s="162"/>
      <c r="F1108" s="162"/>
      <c r="G1108" s="162"/>
      <c r="H1108" s="162"/>
      <c r="I1108" s="162"/>
      <c r="J1108" s="162"/>
      <c r="K1108" s="162"/>
      <c r="L1108" s="162"/>
      <c r="M1108" s="162"/>
      <c r="N1108" s="162"/>
      <c r="O1108" s="162"/>
      <c r="P1108" s="162"/>
      <c r="Q1108" s="162"/>
    </row>
    <row r="1109" spans="2:17" x14ac:dyDescent="0.25">
      <c r="B1109" s="120"/>
      <c r="C1109" s="120"/>
      <c r="D1109" s="120"/>
      <c r="E1109" s="162"/>
      <c r="F1109" s="162"/>
      <c r="G1109" s="162"/>
      <c r="H1109" s="162"/>
      <c r="I1109" s="162"/>
      <c r="J1109" s="162"/>
      <c r="K1109" s="162"/>
      <c r="L1109" s="162"/>
      <c r="M1109" s="162"/>
      <c r="N1109" s="162"/>
      <c r="O1109" s="162"/>
      <c r="P1109" s="162"/>
      <c r="Q1109" s="162"/>
    </row>
    <row r="1110" spans="2:17" x14ac:dyDescent="0.25">
      <c r="B1110" s="120"/>
      <c r="C1110" s="120"/>
      <c r="D1110" s="120"/>
      <c r="E1110" s="162"/>
      <c r="F1110" s="162"/>
      <c r="G1110" s="162"/>
      <c r="H1110" s="162"/>
      <c r="I1110" s="162"/>
      <c r="J1110" s="162"/>
      <c r="K1110" s="162"/>
      <c r="L1110" s="162"/>
      <c r="M1110" s="162"/>
      <c r="N1110" s="162"/>
      <c r="O1110" s="162"/>
      <c r="P1110" s="162"/>
      <c r="Q1110" s="162"/>
    </row>
    <row r="1111" spans="2:17" x14ac:dyDescent="0.25">
      <c r="B1111" s="120"/>
      <c r="C1111" s="120"/>
      <c r="D1111" s="120"/>
      <c r="E1111" s="162"/>
      <c r="F1111" s="162"/>
      <c r="G1111" s="162"/>
      <c r="H1111" s="162"/>
      <c r="I1111" s="162"/>
      <c r="J1111" s="162"/>
      <c r="K1111" s="162"/>
      <c r="L1111" s="162"/>
      <c r="M1111" s="162"/>
      <c r="N1111" s="162"/>
      <c r="O1111" s="162"/>
      <c r="P1111" s="162"/>
      <c r="Q1111" s="162"/>
    </row>
    <row r="1112" spans="2:17" x14ac:dyDescent="0.25">
      <c r="B1112" s="120"/>
      <c r="C1112" s="120"/>
      <c r="D1112" s="120"/>
      <c r="E1112" s="162"/>
      <c r="F1112" s="162"/>
      <c r="G1112" s="162"/>
      <c r="H1112" s="162"/>
      <c r="I1112" s="162"/>
      <c r="J1112" s="162"/>
      <c r="K1112" s="162"/>
      <c r="L1112" s="162"/>
      <c r="M1112" s="162"/>
      <c r="N1112" s="162"/>
      <c r="O1112" s="162"/>
      <c r="P1112" s="162"/>
      <c r="Q1112" s="162"/>
    </row>
    <row r="1113" spans="2:17" x14ac:dyDescent="0.25">
      <c r="B1113" s="120"/>
      <c r="C1113" s="120"/>
      <c r="D1113" s="120"/>
      <c r="E1113" s="162"/>
      <c r="F1113" s="162"/>
      <c r="G1113" s="162"/>
      <c r="H1113" s="162"/>
      <c r="I1113" s="162"/>
      <c r="J1113" s="162"/>
      <c r="K1113" s="162"/>
      <c r="L1113" s="162"/>
      <c r="M1113" s="162"/>
      <c r="N1113" s="162"/>
      <c r="O1113" s="162"/>
      <c r="P1113" s="162"/>
      <c r="Q1113" s="162"/>
    </row>
    <row r="1114" spans="2:17" x14ac:dyDescent="0.25">
      <c r="B1114" s="120"/>
      <c r="C1114" s="120"/>
      <c r="D1114" s="120"/>
      <c r="E1114" s="162"/>
      <c r="F1114" s="162"/>
      <c r="G1114" s="162"/>
      <c r="H1114" s="162"/>
      <c r="I1114" s="162"/>
      <c r="J1114" s="162"/>
      <c r="K1114" s="162"/>
      <c r="L1114" s="162"/>
      <c r="M1114" s="162"/>
      <c r="N1114" s="162"/>
      <c r="O1114" s="162"/>
      <c r="P1114" s="162"/>
      <c r="Q1114" s="162"/>
    </row>
    <row r="1115" spans="2:17" x14ac:dyDescent="0.25">
      <c r="B1115" s="120"/>
      <c r="C1115" s="120"/>
      <c r="D1115" s="120"/>
      <c r="E1115" s="162"/>
      <c r="F1115" s="162"/>
      <c r="G1115" s="162"/>
      <c r="H1115" s="162"/>
      <c r="I1115" s="162"/>
      <c r="J1115" s="162"/>
      <c r="K1115" s="162"/>
      <c r="L1115" s="162"/>
      <c r="M1115" s="162"/>
      <c r="N1115" s="162"/>
      <c r="O1115" s="162"/>
      <c r="P1115" s="162"/>
      <c r="Q1115" s="162"/>
    </row>
    <row r="1116" spans="2:17" x14ac:dyDescent="0.25">
      <c r="B1116" s="120"/>
      <c r="C1116" s="120"/>
      <c r="D1116" s="120"/>
      <c r="E1116" s="162"/>
      <c r="F1116" s="162"/>
      <c r="G1116" s="162"/>
      <c r="H1116" s="162"/>
      <c r="I1116" s="162"/>
      <c r="J1116" s="162"/>
      <c r="K1116" s="162"/>
      <c r="L1116" s="162"/>
      <c r="M1116" s="162"/>
      <c r="N1116" s="162"/>
      <c r="O1116" s="162"/>
      <c r="P1116" s="162"/>
      <c r="Q1116" s="162"/>
    </row>
    <row r="1117" spans="2:17" x14ac:dyDescent="0.25">
      <c r="B1117" s="120"/>
      <c r="C1117" s="120"/>
      <c r="D1117" s="120"/>
      <c r="E1117" s="162"/>
      <c r="F1117" s="162"/>
      <c r="G1117" s="162"/>
      <c r="H1117" s="162"/>
      <c r="I1117" s="162"/>
      <c r="J1117" s="162"/>
      <c r="K1117" s="162"/>
      <c r="L1117" s="162"/>
      <c r="M1117" s="162"/>
      <c r="N1117" s="162"/>
      <c r="O1117" s="162"/>
      <c r="P1117" s="162"/>
      <c r="Q1117" s="162"/>
    </row>
    <row r="1118" spans="2:17" x14ac:dyDescent="0.25">
      <c r="B1118" s="120"/>
      <c r="C1118" s="120"/>
      <c r="D1118" s="120"/>
      <c r="E1118" s="162"/>
      <c r="F1118" s="162"/>
      <c r="G1118" s="162"/>
      <c r="H1118" s="162"/>
      <c r="I1118" s="162"/>
      <c r="J1118" s="162"/>
      <c r="K1118" s="162"/>
      <c r="L1118" s="162"/>
      <c r="M1118" s="162"/>
      <c r="N1118" s="162"/>
      <c r="O1118" s="162"/>
      <c r="P1118" s="162"/>
      <c r="Q1118" s="162"/>
    </row>
    <row r="1119" spans="2:17" x14ac:dyDescent="0.25">
      <c r="B1119" s="120"/>
      <c r="C1119" s="120"/>
      <c r="D1119" s="120"/>
      <c r="E1119" s="162"/>
      <c r="F1119" s="162"/>
      <c r="G1119" s="162"/>
      <c r="H1119" s="162"/>
      <c r="I1119" s="162"/>
      <c r="J1119" s="162"/>
      <c r="K1119" s="162"/>
      <c r="L1119" s="162"/>
      <c r="M1119" s="162"/>
      <c r="N1119" s="162"/>
      <c r="O1119" s="162"/>
      <c r="P1119" s="162"/>
      <c r="Q1119" s="162"/>
    </row>
    <row r="1120" spans="2:17" x14ac:dyDescent="0.25">
      <c r="B1120" s="120"/>
      <c r="C1120" s="120"/>
      <c r="D1120" s="120"/>
      <c r="E1120" s="162"/>
      <c r="F1120" s="162"/>
      <c r="G1120" s="162"/>
      <c r="H1120" s="162"/>
      <c r="I1120" s="162"/>
      <c r="J1120" s="162"/>
      <c r="K1120" s="162"/>
      <c r="L1120" s="162"/>
      <c r="M1120" s="162"/>
      <c r="N1120" s="162"/>
      <c r="O1120" s="162"/>
      <c r="P1120" s="162"/>
      <c r="Q1120" s="162"/>
    </row>
    <row r="1121" spans="2:17" x14ac:dyDescent="0.25">
      <c r="B1121" s="120"/>
      <c r="C1121" s="120"/>
      <c r="D1121" s="120"/>
      <c r="E1121" s="162"/>
      <c r="F1121" s="162"/>
      <c r="G1121" s="162"/>
      <c r="H1121" s="162"/>
      <c r="I1121" s="162"/>
      <c r="J1121" s="162"/>
      <c r="K1121" s="162"/>
      <c r="L1121" s="162"/>
      <c r="M1121" s="162"/>
      <c r="N1121" s="162"/>
      <c r="O1121" s="162"/>
      <c r="P1121" s="162"/>
      <c r="Q1121" s="162"/>
    </row>
    <row r="1122" spans="2:17" x14ac:dyDescent="0.25">
      <c r="B1122" s="120"/>
      <c r="C1122" s="120"/>
      <c r="D1122" s="120"/>
      <c r="E1122" s="162"/>
      <c r="F1122" s="162"/>
      <c r="G1122" s="162"/>
      <c r="H1122" s="162"/>
      <c r="I1122" s="162"/>
      <c r="J1122" s="162"/>
      <c r="K1122" s="162"/>
      <c r="L1122" s="162"/>
      <c r="M1122" s="162"/>
      <c r="N1122" s="162"/>
      <c r="O1122" s="162"/>
      <c r="P1122" s="162"/>
      <c r="Q1122" s="162"/>
    </row>
    <row r="1123" spans="2:17" x14ac:dyDescent="0.25">
      <c r="B1123" s="120"/>
      <c r="C1123" s="120"/>
      <c r="D1123" s="120"/>
      <c r="E1123" s="162"/>
      <c r="F1123" s="162"/>
      <c r="G1123" s="162"/>
      <c r="H1123" s="162"/>
      <c r="I1123" s="162"/>
      <c r="J1123" s="162"/>
      <c r="K1123" s="162"/>
      <c r="L1123" s="162"/>
      <c r="M1123" s="162"/>
      <c r="N1123" s="162"/>
      <c r="O1123" s="162"/>
      <c r="P1123" s="162"/>
      <c r="Q1123" s="162"/>
    </row>
    <row r="1124" spans="2:17" x14ac:dyDescent="0.25">
      <c r="B1124" s="120"/>
      <c r="C1124" s="120"/>
      <c r="D1124" s="120"/>
      <c r="E1124" s="162"/>
      <c r="F1124" s="162"/>
      <c r="G1124" s="162"/>
      <c r="H1124" s="162"/>
      <c r="I1124" s="162"/>
      <c r="J1124" s="162"/>
      <c r="K1124" s="162"/>
      <c r="L1124" s="162"/>
      <c r="M1124" s="162"/>
      <c r="N1124" s="162"/>
      <c r="O1124" s="162"/>
      <c r="P1124" s="162"/>
      <c r="Q1124" s="162"/>
    </row>
    <row r="1125" spans="2:17" x14ac:dyDescent="0.25">
      <c r="B1125" s="120"/>
      <c r="C1125" s="120"/>
      <c r="D1125" s="120"/>
      <c r="E1125" s="162"/>
      <c r="F1125" s="162"/>
      <c r="G1125" s="162"/>
      <c r="H1125" s="162"/>
      <c r="I1125" s="162"/>
      <c r="J1125" s="162"/>
      <c r="K1125" s="162"/>
      <c r="L1125" s="162"/>
      <c r="M1125" s="162"/>
      <c r="N1125" s="162"/>
      <c r="O1125" s="162"/>
      <c r="P1125" s="162"/>
      <c r="Q1125" s="162"/>
    </row>
    <row r="1126" spans="2:17" x14ac:dyDescent="0.25">
      <c r="B1126" s="120"/>
      <c r="C1126" s="120"/>
      <c r="D1126" s="120"/>
      <c r="E1126" s="162"/>
      <c r="F1126" s="162"/>
      <c r="G1126" s="162"/>
      <c r="H1126" s="162"/>
      <c r="I1126" s="162"/>
      <c r="J1126" s="162"/>
      <c r="K1126" s="162"/>
      <c r="L1126" s="162"/>
      <c r="M1126" s="162"/>
      <c r="N1126" s="162"/>
      <c r="O1126" s="162"/>
      <c r="P1126" s="162"/>
      <c r="Q1126" s="162"/>
    </row>
    <row r="1127" spans="2:17" x14ac:dyDescent="0.25">
      <c r="B1127" s="120"/>
      <c r="C1127" s="120"/>
      <c r="D1127" s="120"/>
      <c r="E1127" s="162"/>
      <c r="F1127" s="162"/>
      <c r="G1127" s="162"/>
      <c r="H1127" s="162"/>
      <c r="I1127" s="162"/>
      <c r="J1127" s="162"/>
      <c r="K1127" s="162"/>
      <c r="L1127" s="162"/>
      <c r="M1127" s="162"/>
      <c r="N1127" s="162"/>
      <c r="O1127" s="162"/>
      <c r="P1127" s="162"/>
      <c r="Q1127" s="162"/>
    </row>
    <row r="1128" spans="2:17" x14ac:dyDescent="0.25">
      <c r="B1128" s="120"/>
      <c r="C1128" s="120"/>
      <c r="D1128" s="120"/>
      <c r="E1128" s="162"/>
      <c r="F1128" s="162"/>
      <c r="G1128" s="162"/>
      <c r="H1128" s="162"/>
      <c r="I1128" s="162"/>
      <c r="J1128" s="162"/>
      <c r="K1128" s="162"/>
      <c r="L1128" s="162"/>
      <c r="M1128" s="162"/>
      <c r="N1128" s="162"/>
      <c r="O1128" s="162"/>
      <c r="P1128" s="162"/>
      <c r="Q1128" s="162"/>
    </row>
    <row r="1129" spans="2:17" x14ac:dyDescent="0.25">
      <c r="B1129" s="120"/>
      <c r="C1129" s="120"/>
      <c r="D1129" s="120"/>
      <c r="E1129" s="162"/>
      <c r="F1129" s="162"/>
      <c r="G1129" s="162"/>
      <c r="H1129" s="162"/>
      <c r="I1129" s="162"/>
      <c r="J1129" s="162"/>
      <c r="K1129" s="162"/>
      <c r="L1129" s="162"/>
      <c r="M1129" s="162"/>
      <c r="N1129" s="162"/>
      <c r="O1129" s="162"/>
      <c r="P1129" s="162"/>
      <c r="Q1129" s="162"/>
    </row>
    <row r="1130" spans="2:17" x14ac:dyDescent="0.25">
      <c r="B1130" s="120"/>
      <c r="C1130" s="120"/>
      <c r="D1130" s="120"/>
      <c r="E1130" s="162"/>
      <c r="F1130" s="162"/>
      <c r="G1130" s="162"/>
      <c r="H1130" s="162"/>
      <c r="I1130" s="162"/>
      <c r="J1130" s="162"/>
      <c r="K1130" s="162"/>
      <c r="L1130" s="162"/>
      <c r="M1130" s="162"/>
      <c r="N1130" s="162"/>
      <c r="O1130" s="162"/>
      <c r="P1130" s="162"/>
      <c r="Q1130" s="162"/>
    </row>
    <row r="1131" spans="2:17" x14ac:dyDescent="0.25">
      <c r="B1131" s="120"/>
      <c r="C1131" s="120"/>
      <c r="D1131" s="120"/>
      <c r="E1131" s="162"/>
      <c r="F1131" s="162"/>
      <c r="G1131" s="162"/>
      <c r="H1131" s="162"/>
      <c r="I1131" s="162"/>
      <c r="J1131" s="162"/>
      <c r="K1131" s="162"/>
      <c r="L1131" s="162"/>
      <c r="M1131" s="162"/>
      <c r="N1131" s="162"/>
      <c r="O1131" s="162"/>
      <c r="P1131" s="162"/>
      <c r="Q1131" s="162"/>
    </row>
    <row r="1132" spans="2:17" x14ac:dyDescent="0.25">
      <c r="B1132" s="120"/>
      <c r="C1132" s="120"/>
      <c r="D1132" s="120"/>
      <c r="E1132" s="162"/>
      <c r="F1132" s="162"/>
      <c r="G1132" s="162"/>
      <c r="H1132" s="162"/>
      <c r="I1132" s="162"/>
      <c r="J1132" s="162"/>
      <c r="K1132" s="162"/>
      <c r="L1132" s="162"/>
      <c r="M1132" s="162"/>
      <c r="N1132" s="162"/>
      <c r="O1132" s="162"/>
      <c r="P1132" s="162"/>
      <c r="Q1132" s="162"/>
    </row>
    <row r="1133" spans="2:17" x14ac:dyDescent="0.25">
      <c r="B1133" s="120"/>
      <c r="C1133" s="120"/>
      <c r="D1133" s="120"/>
      <c r="E1133" s="162"/>
      <c r="F1133" s="162"/>
      <c r="G1133" s="162"/>
      <c r="H1133" s="162"/>
      <c r="I1133" s="162"/>
      <c r="J1133" s="162"/>
      <c r="K1133" s="162"/>
      <c r="L1133" s="162"/>
      <c r="M1133" s="162"/>
      <c r="N1133" s="162"/>
      <c r="O1133" s="162"/>
      <c r="P1133" s="162"/>
      <c r="Q1133" s="162"/>
    </row>
    <row r="1134" spans="2:17" x14ac:dyDescent="0.25">
      <c r="B1134" s="120"/>
      <c r="C1134" s="120"/>
      <c r="D1134" s="120"/>
      <c r="E1134" s="162"/>
      <c r="F1134" s="162"/>
      <c r="G1134" s="162"/>
      <c r="H1134" s="162"/>
      <c r="I1134" s="162"/>
      <c r="J1134" s="162"/>
      <c r="K1134" s="162"/>
      <c r="L1134" s="162"/>
      <c r="M1134" s="162"/>
      <c r="N1134" s="162"/>
      <c r="O1134" s="162"/>
      <c r="P1134" s="162"/>
      <c r="Q1134" s="162"/>
    </row>
    <row r="1135" spans="2:17" x14ac:dyDescent="0.25">
      <c r="B1135" s="120"/>
      <c r="C1135" s="120"/>
      <c r="D1135" s="120"/>
      <c r="E1135" s="162"/>
      <c r="F1135" s="162"/>
      <c r="G1135" s="162"/>
      <c r="H1135" s="162"/>
      <c r="I1135" s="162"/>
      <c r="J1135" s="162"/>
      <c r="K1135" s="162"/>
      <c r="L1135" s="162"/>
      <c r="M1135" s="162"/>
      <c r="N1135" s="162"/>
      <c r="O1135" s="162"/>
      <c r="P1135" s="162"/>
      <c r="Q1135" s="162"/>
    </row>
    <row r="1136" spans="2:17" x14ac:dyDescent="0.25">
      <c r="B1136" s="120"/>
      <c r="C1136" s="120"/>
      <c r="D1136" s="120"/>
      <c r="E1136" s="162"/>
      <c r="F1136" s="162"/>
      <c r="G1136" s="162"/>
      <c r="H1136" s="162"/>
      <c r="I1136" s="162"/>
      <c r="J1136" s="162"/>
      <c r="K1136" s="162"/>
      <c r="L1136" s="162"/>
      <c r="M1136" s="162"/>
      <c r="N1136" s="162"/>
      <c r="O1136" s="162"/>
      <c r="P1136" s="162"/>
      <c r="Q1136" s="162"/>
    </row>
    <row r="1137" spans="2:17" x14ac:dyDescent="0.25">
      <c r="B1137" s="120"/>
      <c r="C1137" s="120"/>
      <c r="D1137" s="120"/>
      <c r="E1137" s="162"/>
      <c r="F1137" s="162"/>
      <c r="G1137" s="162"/>
      <c r="H1137" s="162"/>
      <c r="I1137" s="162"/>
      <c r="J1137" s="162"/>
      <c r="K1137" s="162"/>
      <c r="L1137" s="162"/>
      <c r="M1137" s="162"/>
      <c r="N1137" s="162"/>
      <c r="O1137" s="162"/>
      <c r="P1137" s="162"/>
      <c r="Q1137" s="162"/>
    </row>
    <row r="1138" spans="2:17" x14ac:dyDescent="0.25">
      <c r="B1138" s="120"/>
      <c r="C1138" s="120"/>
      <c r="D1138" s="120"/>
      <c r="E1138" s="162"/>
      <c r="F1138" s="162"/>
      <c r="G1138" s="162"/>
      <c r="H1138" s="162"/>
      <c r="I1138" s="162"/>
      <c r="J1138" s="162"/>
      <c r="K1138" s="162"/>
      <c r="L1138" s="162"/>
      <c r="M1138" s="162"/>
      <c r="N1138" s="162"/>
      <c r="O1138" s="162"/>
      <c r="P1138" s="162"/>
      <c r="Q1138" s="162"/>
    </row>
    <row r="1139" spans="2:17" x14ac:dyDescent="0.25">
      <c r="B1139" s="120"/>
      <c r="C1139" s="120"/>
      <c r="D1139" s="120"/>
      <c r="E1139" s="162"/>
      <c r="F1139" s="162"/>
      <c r="G1139" s="162"/>
      <c r="H1139" s="162"/>
      <c r="I1139" s="162"/>
      <c r="J1139" s="162"/>
      <c r="K1139" s="162"/>
      <c r="L1139" s="162"/>
      <c r="M1139" s="162"/>
      <c r="N1139" s="162"/>
      <c r="O1139" s="162"/>
      <c r="P1139" s="162"/>
      <c r="Q1139" s="162"/>
    </row>
    <row r="1140" spans="2:17" x14ac:dyDescent="0.25">
      <c r="B1140" s="120"/>
      <c r="C1140" s="120"/>
      <c r="D1140" s="120"/>
      <c r="E1140" s="162"/>
      <c r="F1140" s="162"/>
      <c r="G1140" s="162"/>
      <c r="H1140" s="162"/>
      <c r="I1140" s="162"/>
      <c r="J1140" s="162"/>
      <c r="K1140" s="162"/>
      <c r="L1140" s="162"/>
      <c r="M1140" s="162"/>
      <c r="N1140" s="162"/>
      <c r="O1140" s="162"/>
      <c r="P1140" s="162"/>
      <c r="Q1140" s="162"/>
    </row>
    <row r="1141" spans="2:17" x14ac:dyDescent="0.25">
      <c r="B1141" s="120"/>
      <c r="C1141" s="120"/>
      <c r="D1141" s="120"/>
      <c r="E1141" s="162"/>
      <c r="F1141" s="162"/>
      <c r="G1141" s="162"/>
      <c r="H1141" s="162"/>
      <c r="I1141" s="162"/>
      <c r="J1141" s="162"/>
      <c r="K1141" s="162"/>
      <c r="L1141" s="162"/>
      <c r="M1141" s="162"/>
      <c r="N1141" s="162"/>
      <c r="O1141" s="162"/>
      <c r="P1141" s="162"/>
      <c r="Q1141" s="162"/>
    </row>
    <row r="1142" spans="2:17" x14ac:dyDescent="0.25">
      <c r="B1142" s="120"/>
      <c r="C1142" s="120"/>
      <c r="D1142" s="120"/>
      <c r="E1142" s="162"/>
      <c r="F1142" s="162"/>
      <c r="G1142" s="162"/>
      <c r="H1142" s="162"/>
      <c r="I1142" s="162"/>
      <c r="J1142" s="162"/>
      <c r="K1142" s="162"/>
      <c r="L1142" s="162"/>
      <c r="M1142" s="162"/>
      <c r="N1142" s="162"/>
      <c r="O1142" s="162"/>
      <c r="P1142" s="162"/>
      <c r="Q1142" s="162"/>
    </row>
    <row r="1143" spans="2:17" x14ac:dyDescent="0.25">
      <c r="B1143" s="120"/>
      <c r="C1143" s="120"/>
      <c r="D1143" s="120"/>
      <c r="E1143" s="162"/>
      <c r="F1143" s="162"/>
      <c r="G1143" s="162"/>
      <c r="H1143" s="162"/>
      <c r="I1143" s="162"/>
      <c r="J1143" s="162"/>
      <c r="K1143" s="162"/>
      <c r="L1143" s="162"/>
      <c r="M1143" s="162"/>
      <c r="N1143" s="162"/>
      <c r="O1143" s="162"/>
      <c r="P1143" s="162"/>
      <c r="Q1143" s="162"/>
    </row>
    <row r="1144" spans="2:17" x14ac:dyDescent="0.25">
      <c r="B1144" s="120"/>
      <c r="C1144" s="120"/>
      <c r="D1144" s="120"/>
      <c r="E1144" s="162"/>
      <c r="F1144" s="162"/>
      <c r="G1144" s="162"/>
      <c r="H1144" s="162"/>
      <c r="I1144" s="162"/>
      <c r="J1144" s="162"/>
      <c r="K1144" s="84">
        <f t="shared" ref="K1144:K1195" ca="1" si="14">$AF$14-B1145</f>
        <v>-11.050860263829124</v>
      </c>
      <c r="L1144" s="84">
        <f t="shared" ref="L1144:L1195" ca="1" si="15">-0.5*B1145-$AF$15</f>
        <v>-4.9699650479544646</v>
      </c>
      <c r="M1144" s="84">
        <f t="shared" ref="M1144:M1195" ca="1" si="16">-0.75*B1145-$AF$16</f>
        <v>-8.0104126558917983</v>
      </c>
      <c r="N1144" s="84">
        <f t="shared" ref="N1144:N1195" ca="1" si="17">-B1145-$AF$17</f>
        <v>-10.159964161413052</v>
      </c>
      <c r="O1144" s="84">
        <f t="shared" ref="O1144:O1195" si="18">(-0.25*B1145-$AF$18)/0.5</f>
        <v>-5.8608611503705372</v>
      </c>
      <c r="P1144" s="84">
        <f t="shared" ref="P1144:P1207" ca="1" si="19">$AF$19/$S$19</f>
        <v>-7.3590849048426614</v>
      </c>
      <c r="Q1144" s="84">
        <f t="shared" ref="Q1144:Q1195" si="20">-0.5*B1145-$AF$20</f>
        <v>-6.4804217089917202</v>
      </c>
    </row>
    <row r="1145" spans="2:17" x14ac:dyDescent="0.25">
      <c r="J1145" s="84">
        <f t="shared" ref="J1145:J1208" ca="1" si="21">$AF$13/$S$13</f>
        <v>-12.491738112734579</v>
      </c>
      <c r="K1145" s="84">
        <f t="shared" ca="1" si="14"/>
        <v>-11.050860263829124</v>
      </c>
      <c r="L1145" s="84">
        <f t="shared" ca="1" si="15"/>
        <v>-4.9699650479544646</v>
      </c>
      <c r="M1145" s="84">
        <f t="shared" ca="1" si="16"/>
        <v>-8.0104126558917983</v>
      </c>
      <c r="N1145" s="84">
        <f t="shared" ca="1" si="17"/>
        <v>-10.159964161413052</v>
      </c>
      <c r="O1145" s="84">
        <f t="shared" si="18"/>
        <v>-5.8608611503705372</v>
      </c>
      <c r="P1145" s="84">
        <f t="shared" ca="1" si="19"/>
        <v>-7.3590849048426614</v>
      </c>
      <c r="Q1145" s="84">
        <f t="shared" si="20"/>
        <v>-6.4804217089917202</v>
      </c>
    </row>
    <row r="1146" spans="2:17" x14ac:dyDescent="0.25">
      <c r="J1146" s="84">
        <f t="shared" ca="1" si="21"/>
        <v>-12.491738112734579</v>
      </c>
      <c r="K1146" s="84">
        <f t="shared" ca="1" si="14"/>
        <v>-11.050860263829124</v>
      </c>
      <c r="L1146" s="84">
        <f t="shared" ca="1" si="15"/>
        <v>-4.9699650479544646</v>
      </c>
      <c r="M1146" s="84">
        <f t="shared" ca="1" si="16"/>
        <v>-8.0104126558917983</v>
      </c>
      <c r="N1146" s="84">
        <f t="shared" ca="1" si="17"/>
        <v>-10.159964161413052</v>
      </c>
      <c r="O1146" s="84">
        <f t="shared" si="18"/>
        <v>-5.8608611503705372</v>
      </c>
      <c r="P1146" s="84">
        <f t="shared" ca="1" si="19"/>
        <v>-7.3590849048426614</v>
      </c>
      <c r="Q1146" s="84">
        <f t="shared" si="20"/>
        <v>-6.4804217089917202</v>
      </c>
    </row>
    <row r="1147" spans="2:17" x14ac:dyDescent="0.25">
      <c r="J1147" s="84">
        <f t="shared" ca="1" si="21"/>
        <v>-12.491738112734579</v>
      </c>
      <c r="K1147" s="84">
        <f t="shared" ca="1" si="14"/>
        <v>-11.050860263829124</v>
      </c>
      <c r="L1147" s="84">
        <f t="shared" ca="1" si="15"/>
        <v>-4.9699650479544646</v>
      </c>
      <c r="M1147" s="84">
        <f t="shared" ca="1" si="16"/>
        <v>-8.0104126558917983</v>
      </c>
      <c r="N1147" s="84">
        <f t="shared" ca="1" si="17"/>
        <v>-10.159964161413052</v>
      </c>
      <c r="O1147" s="84">
        <f t="shared" si="18"/>
        <v>-5.8608611503705372</v>
      </c>
      <c r="P1147" s="84">
        <f t="shared" ca="1" si="19"/>
        <v>-7.3590849048426614</v>
      </c>
      <c r="Q1147" s="84">
        <f t="shared" si="20"/>
        <v>-6.4804217089917202</v>
      </c>
    </row>
    <row r="1148" spans="2:17" x14ac:dyDescent="0.25">
      <c r="J1148" s="84">
        <f t="shared" ca="1" si="21"/>
        <v>-12.491738112734579</v>
      </c>
      <c r="K1148" s="84">
        <f t="shared" ca="1" si="14"/>
        <v>-11.050860263829124</v>
      </c>
      <c r="L1148" s="84">
        <f t="shared" ca="1" si="15"/>
        <v>-4.9699650479544646</v>
      </c>
      <c r="M1148" s="84">
        <f t="shared" ca="1" si="16"/>
        <v>-8.0104126558917983</v>
      </c>
      <c r="N1148" s="84">
        <f t="shared" ca="1" si="17"/>
        <v>-10.159964161413052</v>
      </c>
      <c r="O1148" s="84">
        <f t="shared" si="18"/>
        <v>-5.8608611503705372</v>
      </c>
      <c r="P1148" s="84">
        <f t="shared" ca="1" si="19"/>
        <v>-7.3590849048426614</v>
      </c>
      <c r="Q1148" s="84">
        <f t="shared" si="20"/>
        <v>-6.4804217089917202</v>
      </c>
    </row>
    <row r="1149" spans="2:17" x14ac:dyDescent="0.25">
      <c r="J1149" s="84">
        <f t="shared" ca="1" si="21"/>
        <v>-12.491738112734579</v>
      </c>
      <c r="K1149" s="84">
        <f t="shared" ca="1" si="14"/>
        <v>-11.050860263829124</v>
      </c>
      <c r="L1149" s="84">
        <f t="shared" ca="1" si="15"/>
        <v>-4.9699650479544646</v>
      </c>
      <c r="M1149" s="84">
        <f t="shared" ca="1" si="16"/>
        <v>-8.0104126558917983</v>
      </c>
      <c r="N1149" s="84">
        <f t="shared" ca="1" si="17"/>
        <v>-10.159964161413052</v>
      </c>
      <c r="O1149" s="84">
        <f t="shared" si="18"/>
        <v>-5.8608611503705372</v>
      </c>
      <c r="P1149" s="84">
        <f t="shared" ca="1" si="19"/>
        <v>-7.3590849048426614</v>
      </c>
      <c r="Q1149" s="84">
        <f t="shared" si="20"/>
        <v>-6.4804217089917202</v>
      </c>
    </row>
    <row r="1150" spans="2:17" x14ac:dyDescent="0.25">
      <c r="J1150" s="84">
        <f t="shared" ca="1" si="21"/>
        <v>-12.491738112734579</v>
      </c>
      <c r="K1150" s="84">
        <f t="shared" ca="1" si="14"/>
        <v>-11.050860263829124</v>
      </c>
      <c r="L1150" s="84">
        <f t="shared" ca="1" si="15"/>
        <v>-4.9699650479544646</v>
      </c>
      <c r="M1150" s="84">
        <f t="shared" ca="1" si="16"/>
        <v>-8.0104126558917983</v>
      </c>
      <c r="N1150" s="84">
        <f t="shared" ca="1" si="17"/>
        <v>-10.159964161413052</v>
      </c>
      <c r="O1150" s="84">
        <f t="shared" si="18"/>
        <v>-5.8608611503705372</v>
      </c>
      <c r="P1150" s="84">
        <f t="shared" ca="1" si="19"/>
        <v>-7.3590849048426614</v>
      </c>
      <c r="Q1150" s="84">
        <f t="shared" si="20"/>
        <v>-6.4804217089917202</v>
      </c>
    </row>
    <row r="1151" spans="2:17" x14ac:dyDescent="0.25">
      <c r="J1151" s="84">
        <f t="shared" ca="1" si="21"/>
        <v>-12.491738112734579</v>
      </c>
      <c r="K1151" s="84">
        <f t="shared" ca="1" si="14"/>
        <v>-11.050860263829124</v>
      </c>
      <c r="L1151" s="84">
        <f t="shared" ca="1" si="15"/>
        <v>-4.9699650479544646</v>
      </c>
      <c r="M1151" s="84">
        <f t="shared" ca="1" si="16"/>
        <v>-8.0104126558917983</v>
      </c>
      <c r="N1151" s="84">
        <f t="shared" ca="1" si="17"/>
        <v>-10.159964161413052</v>
      </c>
      <c r="O1151" s="84">
        <f t="shared" si="18"/>
        <v>-5.8608611503705372</v>
      </c>
      <c r="P1151" s="84">
        <f t="shared" ca="1" si="19"/>
        <v>-7.3590849048426614</v>
      </c>
      <c r="Q1151" s="84">
        <f t="shared" si="20"/>
        <v>-6.4804217089917202</v>
      </c>
    </row>
    <row r="1152" spans="2:17" x14ac:dyDescent="0.25">
      <c r="J1152" s="84">
        <f t="shared" ca="1" si="21"/>
        <v>-12.491738112734579</v>
      </c>
      <c r="K1152" s="84">
        <f t="shared" ca="1" si="14"/>
        <v>-11.050860263829124</v>
      </c>
      <c r="L1152" s="84">
        <f t="shared" ca="1" si="15"/>
        <v>-4.9699650479544646</v>
      </c>
      <c r="M1152" s="84">
        <f t="shared" ca="1" si="16"/>
        <v>-8.0104126558917983</v>
      </c>
      <c r="N1152" s="84">
        <f t="shared" ca="1" si="17"/>
        <v>-10.159964161413052</v>
      </c>
      <c r="O1152" s="84">
        <f t="shared" si="18"/>
        <v>-5.8608611503705372</v>
      </c>
      <c r="P1152" s="84">
        <f t="shared" ca="1" si="19"/>
        <v>-7.3590849048426614</v>
      </c>
      <c r="Q1152" s="84">
        <f t="shared" si="20"/>
        <v>-6.4804217089917202</v>
      </c>
    </row>
    <row r="1153" spans="10:17" x14ac:dyDescent="0.25">
      <c r="J1153" s="84">
        <f t="shared" ca="1" si="21"/>
        <v>-12.491738112734579</v>
      </c>
      <c r="K1153" s="84">
        <f t="shared" ca="1" si="14"/>
        <v>-11.050860263829124</v>
      </c>
      <c r="L1153" s="84">
        <f t="shared" ca="1" si="15"/>
        <v>-4.9699650479544646</v>
      </c>
      <c r="M1153" s="84">
        <f t="shared" ca="1" si="16"/>
        <v>-8.0104126558917983</v>
      </c>
      <c r="N1153" s="84">
        <f t="shared" ca="1" si="17"/>
        <v>-10.159964161413052</v>
      </c>
      <c r="O1153" s="84">
        <f t="shared" si="18"/>
        <v>-5.8608611503705372</v>
      </c>
      <c r="P1153" s="84">
        <f t="shared" ca="1" si="19"/>
        <v>-7.3590849048426614</v>
      </c>
      <c r="Q1153" s="84">
        <f t="shared" si="20"/>
        <v>-6.4804217089917202</v>
      </c>
    </row>
    <row r="1154" spans="10:17" x14ac:dyDescent="0.25">
      <c r="J1154" s="84">
        <f t="shared" ca="1" si="21"/>
        <v>-12.491738112734579</v>
      </c>
      <c r="K1154" s="84">
        <f t="shared" ca="1" si="14"/>
        <v>-11.050860263829124</v>
      </c>
      <c r="L1154" s="84">
        <f t="shared" ca="1" si="15"/>
        <v>-4.9699650479544646</v>
      </c>
      <c r="M1154" s="84">
        <f t="shared" ca="1" si="16"/>
        <v>-8.0104126558917983</v>
      </c>
      <c r="N1154" s="84">
        <f t="shared" ca="1" si="17"/>
        <v>-10.159964161413052</v>
      </c>
      <c r="O1154" s="84">
        <f t="shared" si="18"/>
        <v>-5.8608611503705372</v>
      </c>
      <c r="P1154" s="84">
        <f t="shared" ca="1" si="19"/>
        <v>-7.3590849048426614</v>
      </c>
      <c r="Q1154" s="84">
        <f t="shared" si="20"/>
        <v>-6.4804217089917202</v>
      </c>
    </row>
    <row r="1155" spans="10:17" x14ac:dyDescent="0.25">
      <c r="J1155" s="84">
        <f t="shared" ca="1" si="21"/>
        <v>-12.491738112734579</v>
      </c>
      <c r="K1155" s="84">
        <f t="shared" ca="1" si="14"/>
        <v>-11.050860263829124</v>
      </c>
      <c r="L1155" s="84">
        <f t="shared" ca="1" si="15"/>
        <v>-4.9699650479544646</v>
      </c>
      <c r="M1155" s="84">
        <f t="shared" ca="1" si="16"/>
        <v>-8.0104126558917983</v>
      </c>
      <c r="N1155" s="84">
        <f t="shared" ca="1" si="17"/>
        <v>-10.159964161413052</v>
      </c>
      <c r="O1155" s="84">
        <f t="shared" si="18"/>
        <v>-5.8608611503705372</v>
      </c>
      <c r="P1155" s="84">
        <f t="shared" ca="1" si="19"/>
        <v>-7.3590849048426614</v>
      </c>
      <c r="Q1155" s="84">
        <f t="shared" si="20"/>
        <v>-6.4804217089917202</v>
      </c>
    </row>
    <row r="1156" spans="10:17" x14ac:dyDescent="0.25">
      <c r="J1156" s="84">
        <f t="shared" ca="1" si="21"/>
        <v>-12.491738112734579</v>
      </c>
      <c r="K1156" s="84">
        <f t="shared" ca="1" si="14"/>
        <v>-11.050860263829124</v>
      </c>
      <c r="L1156" s="84">
        <f t="shared" ca="1" si="15"/>
        <v>-4.9699650479544646</v>
      </c>
      <c r="M1156" s="84">
        <f t="shared" ca="1" si="16"/>
        <v>-8.0104126558917983</v>
      </c>
      <c r="N1156" s="84">
        <f t="shared" ca="1" si="17"/>
        <v>-10.159964161413052</v>
      </c>
      <c r="O1156" s="84">
        <f t="shared" si="18"/>
        <v>-5.8608611503705372</v>
      </c>
      <c r="P1156" s="84">
        <f t="shared" ca="1" si="19"/>
        <v>-7.3590849048426614</v>
      </c>
      <c r="Q1156" s="84">
        <f t="shared" si="20"/>
        <v>-6.4804217089917202</v>
      </c>
    </row>
    <row r="1157" spans="10:17" x14ac:dyDescent="0.25">
      <c r="J1157" s="84">
        <f t="shared" ca="1" si="21"/>
        <v>-12.491738112734579</v>
      </c>
      <c r="K1157" s="84">
        <f t="shared" ca="1" si="14"/>
        <v>-11.050860263829124</v>
      </c>
      <c r="L1157" s="84">
        <f t="shared" ca="1" si="15"/>
        <v>-4.9699650479544646</v>
      </c>
      <c r="M1157" s="84">
        <f t="shared" ca="1" si="16"/>
        <v>-8.0104126558917983</v>
      </c>
      <c r="N1157" s="84">
        <f t="shared" ca="1" si="17"/>
        <v>-10.159964161413052</v>
      </c>
      <c r="O1157" s="84">
        <f t="shared" si="18"/>
        <v>-5.8608611503705372</v>
      </c>
      <c r="P1157" s="84">
        <f t="shared" ca="1" si="19"/>
        <v>-7.3590849048426614</v>
      </c>
      <c r="Q1157" s="84">
        <f t="shared" si="20"/>
        <v>-6.4804217089917202</v>
      </c>
    </row>
    <row r="1158" spans="10:17" x14ac:dyDescent="0.25">
      <c r="J1158" s="84">
        <f t="shared" ca="1" si="21"/>
        <v>-12.491738112734579</v>
      </c>
      <c r="K1158" s="84">
        <f t="shared" ca="1" si="14"/>
        <v>-11.050860263829124</v>
      </c>
      <c r="L1158" s="84">
        <f t="shared" ca="1" si="15"/>
        <v>-4.9699650479544646</v>
      </c>
      <c r="M1158" s="84">
        <f t="shared" ca="1" si="16"/>
        <v>-8.0104126558917983</v>
      </c>
      <c r="N1158" s="84">
        <f t="shared" ca="1" si="17"/>
        <v>-10.159964161413052</v>
      </c>
      <c r="O1158" s="84">
        <f t="shared" si="18"/>
        <v>-5.8608611503705372</v>
      </c>
      <c r="P1158" s="84">
        <f t="shared" ca="1" si="19"/>
        <v>-7.3590849048426614</v>
      </c>
      <c r="Q1158" s="84">
        <f t="shared" si="20"/>
        <v>-6.4804217089917202</v>
      </c>
    </row>
    <row r="1159" spans="10:17" x14ac:dyDescent="0.25">
      <c r="J1159" s="84">
        <f t="shared" ca="1" si="21"/>
        <v>-12.491738112734579</v>
      </c>
      <c r="K1159" s="84">
        <f t="shared" ca="1" si="14"/>
        <v>-11.050860263829124</v>
      </c>
      <c r="L1159" s="84">
        <f t="shared" ca="1" si="15"/>
        <v>-4.9699650479544646</v>
      </c>
      <c r="M1159" s="84">
        <f t="shared" ca="1" si="16"/>
        <v>-8.0104126558917983</v>
      </c>
      <c r="N1159" s="84">
        <f t="shared" ca="1" si="17"/>
        <v>-10.159964161413052</v>
      </c>
      <c r="O1159" s="84">
        <f t="shared" si="18"/>
        <v>-5.8608611503705372</v>
      </c>
      <c r="P1159" s="84">
        <f t="shared" ca="1" si="19"/>
        <v>-7.3590849048426614</v>
      </c>
      <c r="Q1159" s="84">
        <f t="shared" si="20"/>
        <v>-6.4804217089917202</v>
      </c>
    </row>
    <row r="1160" spans="10:17" x14ac:dyDescent="0.25">
      <c r="J1160" s="84">
        <f t="shared" ca="1" si="21"/>
        <v>-12.491738112734579</v>
      </c>
      <c r="K1160" s="84">
        <f t="shared" ca="1" si="14"/>
        <v>-11.050860263829124</v>
      </c>
      <c r="L1160" s="84">
        <f t="shared" ca="1" si="15"/>
        <v>-4.9699650479544646</v>
      </c>
      <c r="M1160" s="84">
        <f t="shared" ca="1" si="16"/>
        <v>-8.0104126558917983</v>
      </c>
      <c r="N1160" s="84">
        <f t="shared" ca="1" si="17"/>
        <v>-10.159964161413052</v>
      </c>
      <c r="O1160" s="84">
        <f t="shared" si="18"/>
        <v>-5.8608611503705372</v>
      </c>
      <c r="P1160" s="84">
        <f t="shared" ca="1" si="19"/>
        <v>-7.3590849048426614</v>
      </c>
      <c r="Q1160" s="84">
        <f t="shared" si="20"/>
        <v>-6.4804217089917202</v>
      </c>
    </row>
    <row r="1161" spans="10:17" x14ac:dyDescent="0.25">
      <c r="J1161" s="84">
        <f t="shared" ca="1" si="21"/>
        <v>-12.491738112734579</v>
      </c>
      <c r="K1161" s="84">
        <f t="shared" ca="1" si="14"/>
        <v>-11.050860263829124</v>
      </c>
      <c r="L1161" s="84">
        <f t="shared" ca="1" si="15"/>
        <v>-4.9699650479544646</v>
      </c>
      <c r="M1161" s="84">
        <f t="shared" ca="1" si="16"/>
        <v>-8.0104126558917983</v>
      </c>
      <c r="N1161" s="84">
        <f t="shared" ca="1" si="17"/>
        <v>-10.159964161413052</v>
      </c>
      <c r="O1161" s="84">
        <f t="shared" si="18"/>
        <v>-5.8608611503705372</v>
      </c>
      <c r="P1161" s="84">
        <f t="shared" ca="1" si="19"/>
        <v>-7.3590849048426614</v>
      </c>
      <c r="Q1161" s="84">
        <f t="shared" si="20"/>
        <v>-6.4804217089917202</v>
      </c>
    </row>
    <row r="1162" spans="10:17" x14ac:dyDescent="0.25">
      <c r="J1162" s="84">
        <f t="shared" ca="1" si="21"/>
        <v>-12.491738112734579</v>
      </c>
      <c r="K1162" s="84">
        <f t="shared" ca="1" si="14"/>
        <v>-11.050860263829124</v>
      </c>
      <c r="L1162" s="84">
        <f t="shared" ca="1" si="15"/>
        <v>-4.9699650479544646</v>
      </c>
      <c r="M1162" s="84">
        <f t="shared" ca="1" si="16"/>
        <v>-8.0104126558917983</v>
      </c>
      <c r="N1162" s="84">
        <f t="shared" ca="1" si="17"/>
        <v>-10.159964161413052</v>
      </c>
      <c r="O1162" s="84">
        <f t="shared" si="18"/>
        <v>-5.8608611503705372</v>
      </c>
      <c r="P1162" s="84">
        <f t="shared" ca="1" si="19"/>
        <v>-7.3590849048426614</v>
      </c>
      <c r="Q1162" s="84">
        <f t="shared" si="20"/>
        <v>-6.4804217089917202</v>
      </c>
    </row>
    <row r="1163" spans="10:17" x14ac:dyDescent="0.25">
      <c r="J1163" s="84">
        <f t="shared" ca="1" si="21"/>
        <v>-12.491738112734579</v>
      </c>
      <c r="K1163" s="84">
        <f t="shared" ca="1" si="14"/>
        <v>-11.050860263829124</v>
      </c>
      <c r="L1163" s="84">
        <f t="shared" ca="1" si="15"/>
        <v>-4.9699650479544646</v>
      </c>
      <c r="M1163" s="84">
        <f t="shared" ca="1" si="16"/>
        <v>-8.0104126558917983</v>
      </c>
      <c r="N1163" s="84">
        <f t="shared" ca="1" si="17"/>
        <v>-10.159964161413052</v>
      </c>
      <c r="O1163" s="84">
        <f t="shared" si="18"/>
        <v>-5.8608611503705372</v>
      </c>
      <c r="P1163" s="84">
        <f t="shared" ca="1" si="19"/>
        <v>-7.3590849048426614</v>
      </c>
      <c r="Q1163" s="84">
        <f t="shared" si="20"/>
        <v>-6.4804217089917202</v>
      </c>
    </row>
    <row r="1164" spans="10:17" x14ac:dyDescent="0.25">
      <c r="J1164" s="84">
        <f t="shared" ca="1" si="21"/>
        <v>-12.491738112734579</v>
      </c>
      <c r="K1164" s="84">
        <f t="shared" ca="1" si="14"/>
        <v>-11.050860263829124</v>
      </c>
      <c r="L1164" s="84">
        <f t="shared" ca="1" si="15"/>
        <v>-4.9699650479544646</v>
      </c>
      <c r="M1164" s="84">
        <f t="shared" ca="1" si="16"/>
        <v>-8.0104126558917983</v>
      </c>
      <c r="N1164" s="84">
        <f t="shared" ca="1" si="17"/>
        <v>-10.159964161413052</v>
      </c>
      <c r="O1164" s="84">
        <f t="shared" si="18"/>
        <v>-5.8608611503705372</v>
      </c>
      <c r="P1164" s="84">
        <f t="shared" ca="1" si="19"/>
        <v>-7.3590849048426614</v>
      </c>
      <c r="Q1164" s="84">
        <f t="shared" si="20"/>
        <v>-6.4804217089917202</v>
      </c>
    </row>
    <row r="1165" spans="10:17" x14ac:dyDescent="0.25">
      <c r="J1165" s="84">
        <f t="shared" ca="1" si="21"/>
        <v>-12.491738112734579</v>
      </c>
      <c r="K1165" s="84">
        <f t="shared" ca="1" si="14"/>
        <v>-11.050860263829124</v>
      </c>
      <c r="L1165" s="84">
        <f t="shared" ca="1" si="15"/>
        <v>-4.9699650479544646</v>
      </c>
      <c r="M1165" s="84">
        <f t="shared" ca="1" si="16"/>
        <v>-8.0104126558917983</v>
      </c>
      <c r="N1165" s="84">
        <f t="shared" ca="1" si="17"/>
        <v>-10.159964161413052</v>
      </c>
      <c r="O1165" s="84">
        <f t="shared" si="18"/>
        <v>-5.8608611503705372</v>
      </c>
      <c r="P1165" s="84">
        <f t="shared" ca="1" si="19"/>
        <v>-7.3590849048426614</v>
      </c>
      <c r="Q1165" s="84">
        <f t="shared" si="20"/>
        <v>-6.4804217089917202</v>
      </c>
    </row>
    <row r="1166" spans="10:17" x14ac:dyDescent="0.25">
      <c r="J1166" s="84">
        <f t="shared" ca="1" si="21"/>
        <v>-12.491738112734579</v>
      </c>
      <c r="K1166" s="84">
        <f t="shared" ca="1" si="14"/>
        <v>-11.050860263829124</v>
      </c>
      <c r="L1166" s="84">
        <f t="shared" ca="1" si="15"/>
        <v>-4.9699650479544646</v>
      </c>
      <c r="M1166" s="84">
        <f t="shared" ca="1" si="16"/>
        <v>-8.0104126558917983</v>
      </c>
      <c r="N1166" s="84">
        <f t="shared" ca="1" si="17"/>
        <v>-10.159964161413052</v>
      </c>
      <c r="O1166" s="84">
        <f t="shared" si="18"/>
        <v>-5.8608611503705372</v>
      </c>
      <c r="P1166" s="84">
        <f t="shared" ca="1" si="19"/>
        <v>-7.3590849048426614</v>
      </c>
      <c r="Q1166" s="84">
        <f t="shared" si="20"/>
        <v>-6.4804217089917202</v>
      </c>
    </row>
    <row r="1167" spans="10:17" x14ac:dyDescent="0.25">
      <c r="J1167" s="84">
        <f t="shared" ca="1" si="21"/>
        <v>-12.491738112734579</v>
      </c>
      <c r="K1167" s="84">
        <f t="shared" ca="1" si="14"/>
        <v>-11.050860263829124</v>
      </c>
      <c r="L1167" s="84">
        <f t="shared" ca="1" si="15"/>
        <v>-4.9699650479544646</v>
      </c>
      <c r="M1167" s="84">
        <f t="shared" ca="1" si="16"/>
        <v>-8.0104126558917983</v>
      </c>
      <c r="N1167" s="84">
        <f t="shared" ca="1" si="17"/>
        <v>-10.159964161413052</v>
      </c>
      <c r="O1167" s="84">
        <f t="shared" si="18"/>
        <v>-5.8608611503705372</v>
      </c>
      <c r="P1167" s="84">
        <f t="shared" ca="1" si="19"/>
        <v>-7.3590849048426614</v>
      </c>
      <c r="Q1167" s="84">
        <f t="shared" si="20"/>
        <v>-6.4804217089917202</v>
      </c>
    </row>
    <row r="1168" spans="10:17" x14ac:dyDescent="0.25">
      <c r="J1168" s="84">
        <f t="shared" ca="1" si="21"/>
        <v>-12.491738112734579</v>
      </c>
      <c r="K1168" s="84">
        <f t="shared" ca="1" si="14"/>
        <v>-11.050860263829124</v>
      </c>
      <c r="L1168" s="84">
        <f t="shared" ca="1" si="15"/>
        <v>-4.9699650479544646</v>
      </c>
      <c r="M1168" s="84">
        <f t="shared" ca="1" si="16"/>
        <v>-8.0104126558917983</v>
      </c>
      <c r="N1168" s="84">
        <f t="shared" ca="1" si="17"/>
        <v>-10.159964161413052</v>
      </c>
      <c r="O1168" s="84">
        <f t="shared" si="18"/>
        <v>-5.8608611503705372</v>
      </c>
      <c r="P1168" s="84">
        <f t="shared" ca="1" si="19"/>
        <v>-7.3590849048426614</v>
      </c>
      <c r="Q1168" s="84">
        <f t="shared" si="20"/>
        <v>-6.4804217089917202</v>
      </c>
    </row>
    <row r="1169" spans="10:17" x14ac:dyDescent="0.25">
      <c r="J1169" s="84">
        <f t="shared" ca="1" si="21"/>
        <v>-12.491738112734579</v>
      </c>
      <c r="K1169" s="84">
        <f t="shared" ca="1" si="14"/>
        <v>-11.050860263829124</v>
      </c>
      <c r="L1169" s="84">
        <f t="shared" ca="1" si="15"/>
        <v>-4.9699650479544646</v>
      </c>
      <c r="M1169" s="84">
        <f t="shared" ca="1" si="16"/>
        <v>-8.0104126558917983</v>
      </c>
      <c r="N1169" s="84">
        <f t="shared" ca="1" si="17"/>
        <v>-10.159964161413052</v>
      </c>
      <c r="O1169" s="84">
        <f t="shared" si="18"/>
        <v>-5.8608611503705372</v>
      </c>
      <c r="P1169" s="84">
        <f t="shared" ca="1" si="19"/>
        <v>-7.3590849048426614</v>
      </c>
      <c r="Q1169" s="84">
        <f t="shared" si="20"/>
        <v>-6.4804217089917202</v>
      </c>
    </row>
    <row r="1170" spans="10:17" x14ac:dyDescent="0.25">
      <c r="J1170" s="84">
        <f t="shared" ca="1" si="21"/>
        <v>-12.491738112734579</v>
      </c>
      <c r="K1170" s="84">
        <f t="shared" ca="1" si="14"/>
        <v>-11.050860263829124</v>
      </c>
      <c r="L1170" s="84">
        <f t="shared" ca="1" si="15"/>
        <v>-4.9699650479544646</v>
      </c>
      <c r="M1170" s="84">
        <f t="shared" ca="1" si="16"/>
        <v>-8.0104126558917983</v>
      </c>
      <c r="N1170" s="84">
        <f t="shared" ca="1" si="17"/>
        <v>-10.159964161413052</v>
      </c>
      <c r="O1170" s="84">
        <f t="shared" si="18"/>
        <v>-5.8608611503705372</v>
      </c>
      <c r="P1170" s="84">
        <f t="shared" ca="1" si="19"/>
        <v>-7.3590849048426614</v>
      </c>
      <c r="Q1170" s="84">
        <f t="shared" si="20"/>
        <v>-6.4804217089917202</v>
      </c>
    </row>
    <row r="1171" spans="10:17" x14ac:dyDescent="0.25">
      <c r="J1171" s="84">
        <f t="shared" ca="1" si="21"/>
        <v>-12.491738112734579</v>
      </c>
      <c r="K1171" s="84">
        <f t="shared" ca="1" si="14"/>
        <v>-11.050860263829124</v>
      </c>
      <c r="L1171" s="84">
        <f t="shared" ca="1" si="15"/>
        <v>-4.9699650479544646</v>
      </c>
      <c r="M1171" s="84">
        <f t="shared" ca="1" si="16"/>
        <v>-8.0104126558917983</v>
      </c>
      <c r="N1171" s="84">
        <f t="shared" ca="1" si="17"/>
        <v>-10.159964161413052</v>
      </c>
      <c r="O1171" s="84">
        <f t="shared" si="18"/>
        <v>-5.8608611503705372</v>
      </c>
      <c r="P1171" s="84">
        <f t="shared" ca="1" si="19"/>
        <v>-7.3590849048426614</v>
      </c>
      <c r="Q1171" s="84">
        <f t="shared" si="20"/>
        <v>-6.4804217089917202</v>
      </c>
    </row>
    <row r="1172" spans="10:17" x14ac:dyDescent="0.25">
      <c r="J1172" s="84">
        <f t="shared" ca="1" si="21"/>
        <v>-12.491738112734579</v>
      </c>
      <c r="K1172" s="84">
        <f t="shared" ca="1" si="14"/>
        <v>-11.050860263829124</v>
      </c>
      <c r="L1172" s="84">
        <f t="shared" ca="1" si="15"/>
        <v>-4.9699650479544646</v>
      </c>
      <c r="M1172" s="84">
        <f t="shared" ca="1" si="16"/>
        <v>-8.0104126558917983</v>
      </c>
      <c r="N1172" s="84">
        <f t="shared" ca="1" si="17"/>
        <v>-10.159964161413052</v>
      </c>
      <c r="O1172" s="84">
        <f t="shared" si="18"/>
        <v>-5.8608611503705372</v>
      </c>
      <c r="P1172" s="84">
        <f t="shared" ca="1" si="19"/>
        <v>-7.3590849048426614</v>
      </c>
      <c r="Q1172" s="84">
        <f t="shared" si="20"/>
        <v>-6.4804217089917202</v>
      </c>
    </row>
    <row r="1173" spans="10:17" x14ac:dyDescent="0.25">
      <c r="J1173" s="84">
        <f t="shared" ca="1" si="21"/>
        <v>-12.491738112734579</v>
      </c>
      <c r="K1173" s="84">
        <f t="shared" ca="1" si="14"/>
        <v>-11.050860263829124</v>
      </c>
      <c r="L1173" s="84">
        <f t="shared" ca="1" si="15"/>
        <v>-4.9699650479544646</v>
      </c>
      <c r="M1173" s="84">
        <f t="shared" ca="1" si="16"/>
        <v>-8.0104126558917983</v>
      </c>
      <c r="N1173" s="84">
        <f t="shared" ca="1" si="17"/>
        <v>-10.159964161413052</v>
      </c>
      <c r="O1173" s="84">
        <f t="shared" si="18"/>
        <v>-5.8608611503705372</v>
      </c>
      <c r="P1173" s="84">
        <f t="shared" ca="1" si="19"/>
        <v>-7.3590849048426614</v>
      </c>
      <c r="Q1173" s="84">
        <f t="shared" si="20"/>
        <v>-6.4804217089917202</v>
      </c>
    </row>
    <row r="1174" spans="10:17" x14ac:dyDescent="0.25">
      <c r="J1174" s="84">
        <f t="shared" ca="1" si="21"/>
        <v>-12.491738112734579</v>
      </c>
      <c r="K1174" s="84">
        <f t="shared" ca="1" si="14"/>
        <v>-11.050860263829124</v>
      </c>
      <c r="L1174" s="84">
        <f t="shared" ca="1" si="15"/>
        <v>-4.9699650479544646</v>
      </c>
      <c r="M1174" s="84">
        <f t="shared" ca="1" si="16"/>
        <v>-8.0104126558917983</v>
      </c>
      <c r="N1174" s="84">
        <f t="shared" ca="1" si="17"/>
        <v>-10.159964161413052</v>
      </c>
      <c r="O1174" s="84">
        <f t="shared" si="18"/>
        <v>-5.8608611503705372</v>
      </c>
      <c r="P1174" s="84">
        <f t="shared" ca="1" si="19"/>
        <v>-7.3590849048426614</v>
      </c>
      <c r="Q1174" s="84">
        <f t="shared" si="20"/>
        <v>-6.4804217089917202</v>
      </c>
    </row>
    <row r="1175" spans="10:17" x14ac:dyDescent="0.25">
      <c r="J1175" s="84">
        <f t="shared" ca="1" si="21"/>
        <v>-12.491738112734579</v>
      </c>
      <c r="K1175" s="84">
        <f t="shared" ca="1" si="14"/>
        <v>-11.050860263829124</v>
      </c>
      <c r="L1175" s="84">
        <f t="shared" ca="1" si="15"/>
        <v>-4.9699650479544646</v>
      </c>
      <c r="M1175" s="84">
        <f t="shared" ca="1" si="16"/>
        <v>-8.0104126558917983</v>
      </c>
      <c r="N1175" s="84">
        <f t="shared" ca="1" si="17"/>
        <v>-10.159964161413052</v>
      </c>
      <c r="O1175" s="84">
        <f t="shared" si="18"/>
        <v>-5.8608611503705372</v>
      </c>
      <c r="P1175" s="84">
        <f t="shared" ca="1" si="19"/>
        <v>-7.3590849048426614</v>
      </c>
      <c r="Q1175" s="84">
        <f t="shared" si="20"/>
        <v>-6.4804217089917202</v>
      </c>
    </row>
    <row r="1176" spans="10:17" x14ac:dyDescent="0.25">
      <c r="J1176" s="84">
        <f t="shared" ca="1" si="21"/>
        <v>-12.491738112734579</v>
      </c>
      <c r="K1176" s="84">
        <f t="shared" ca="1" si="14"/>
        <v>-11.050860263829124</v>
      </c>
      <c r="L1176" s="84">
        <f t="shared" ca="1" si="15"/>
        <v>-4.9699650479544646</v>
      </c>
      <c r="M1176" s="84">
        <f t="shared" ca="1" si="16"/>
        <v>-8.0104126558917983</v>
      </c>
      <c r="N1176" s="84">
        <f t="shared" ca="1" si="17"/>
        <v>-10.159964161413052</v>
      </c>
      <c r="O1176" s="84">
        <f t="shared" si="18"/>
        <v>-5.8608611503705372</v>
      </c>
      <c r="P1176" s="84">
        <f t="shared" ca="1" si="19"/>
        <v>-7.3590849048426614</v>
      </c>
      <c r="Q1176" s="84">
        <f t="shared" si="20"/>
        <v>-6.4804217089917202</v>
      </c>
    </row>
    <row r="1177" spans="10:17" x14ac:dyDescent="0.25">
      <c r="J1177" s="84">
        <f t="shared" ca="1" si="21"/>
        <v>-12.491738112734579</v>
      </c>
      <c r="K1177" s="84">
        <f t="shared" ca="1" si="14"/>
        <v>-11.050860263829124</v>
      </c>
      <c r="L1177" s="84">
        <f t="shared" ca="1" si="15"/>
        <v>-4.9699650479544646</v>
      </c>
      <c r="M1177" s="84">
        <f t="shared" ca="1" si="16"/>
        <v>-8.0104126558917983</v>
      </c>
      <c r="N1177" s="84">
        <f t="shared" ca="1" si="17"/>
        <v>-10.159964161413052</v>
      </c>
      <c r="O1177" s="84">
        <f t="shared" si="18"/>
        <v>-5.8608611503705372</v>
      </c>
      <c r="P1177" s="84">
        <f t="shared" ca="1" si="19"/>
        <v>-7.3590849048426614</v>
      </c>
      <c r="Q1177" s="84">
        <f t="shared" si="20"/>
        <v>-6.4804217089917202</v>
      </c>
    </row>
    <row r="1178" spans="10:17" x14ac:dyDescent="0.25">
      <c r="J1178" s="84">
        <f t="shared" ca="1" si="21"/>
        <v>-12.491738112734579</v>
      </c>
      <c r="K1178" s="84">
        <f t="shared" ca="1" si="14"/>
        <v>-11.050860263829124</v>
      </c>
      <c r="L1178" s="84">
        <f t="shared" ca="1" si="15"/>
        <v>-4.9699650479544646</v>
      </c>
      <c r="M1178" s="84">
        <f t="shared" ca="1" si="16"/>
        <v>-8.0104126558917983</v>
      </c>
      <c r="N1178" s="84">
        <f t="shared" ca="1" si="17"/>
        <v>-10.159964161413052</v>
      </c>
      <c r="O1178" s="84">
        <f t="shared" si="18"/>
        <v>-5.8608611503705372</v>
      </c>
      <c r="P1178" s="84">
        <f t="shared" ca="1" si="19"/>
        <v>-7.3590849048426614</v>
      </c>
      <c r="Q1178" s="84">
        <f t="shared" si="20"/>
        <v>-6.4804217089917202</v>
      </c>
    </row>
    <row r="1179" spans="10:17" x14ac:dyDescent="0.25">
      <c r="J1179" s="84">
        <f t="shared" ca="1" si="21"/>
        <v>-12.491738112734579</v>
      </c>
      <c r="K1179" s="84">
        <f t="shared" ca="1" si="14"/>
        <v>-11.050860263829124</v>
      </c>
      <c r="L1179" s="84">
        <f t="shared" ca="1" si="15"/>
        <v>-4.9699650479544646</v>
      </c>
      <c r="M1179" s="84">
        <f t="shared" ca="1" si="16"/>
        <v>-8.0104126558917983</v>
      </c>
      <c r="N1179" s="84">
        <f t="shared" ca="1" si="17"/>
        <v>-10.159964161413052</v>
      </c>
      <c r="O1179" s="84">
        <f t="shared" si="18"/>
        <v>-5.8608611503705372</v>
      </c>
      <c r="P1179" s="84">
        <f t="shared" ca="1" si="19"/>
        <v>-7.3590849048426614</v>
      </c>
      <c r="Q1179" s="84">
        <f t="shared" si="20"/>
        <v>-6.4804217089917202</v>
      </c>
    </row>
    <row r="1180" spans="10:17" x14ac:dyDescent="0.25">
      <c r="J1180" s="84">
        <f t="shared" ca="1" si="21"/>
        <v>-12.491738112734579</v>
      </c>
      <c r="K1180" s="84">
        <f t="shared" ca="1" si="14"/>
        <v>-11.050860263829124</v>
      </c>
      <c r="L1180" s="84">
        <f t="shared" ca="1" si="15"/>
        <v>-4.9699650479544646</v>
      </c>
      <c r="M1180" s="84">
        <f t="shared" ca="1" si="16"/>
        <v>-8.0104126558917983</v>
      </c>
      <c r="N1180" s="84">
        <f t="shared" ca="1" si="17"/>
        <v>-10.159964161413052</v>
      </c>
      <c r="O1180" s="84">
        <f t="shared" si="18"/>
        <v>-5.8608611503705372</v>
      </c>
      <c r="P1180" s="84">
        <f t="shared" ca="1" si="19"/>
        <v>-7.3590849048426614</v>
      </c>
      <c r="Q1180" s="84">
        <f t="shared" si="20"/>
        <v>-6.4804217089917202</v>
      </c>
    </row>
    <row r="1181" spans="10:17" x14ac:dyDescent="0.25">
      <c r="J1181" s="84">
        <f t="shared" ca="1" si="21"/>
        <v>-12.491738112734579</v>
      </c>
      <c r="K1181" s="84">
        <f t="shared" ca="1" si="14"/>
        <v>-11.050860263829124</v>
      </c>
      <c r="L1181" s="84">
        <f t="shared" ca="1" si="15"/>
        <v>-4.9699650479544646</v>
      </c>
      <c r="M1181" s="84">
        <f t="shared" ca="1" si="16"/>
        <v>-8.0104126558917983</v>
      </c>
      <c r="N1181" s="84">
        <f t="shared" ca="1" si="17"/>
        <v>-10.159964161413052</v>
      </c>
      <c r="O1181" s="84">
        <f t="shared" si="18"/>
        <v>-5.8608611503705372</v>
      </c>
      <c r="P1181" s="84">
        <f t="shared" ca="1" si="19"/>
        <v>-7.3590849048426614</v>
      </c>
      <c r="Q1181" s="84">
        <f t="shared" si="20"/>
        <v>-6.4804217089917202</v>
      </c>
    </row>
    <row r="1182" spans="10:17" x14ac:dyDescent="0.25">
      <c r="J1182" s="84">
        <f t="shared" ca="1" si="21"/>
        <v>-12.491738112734579</v>
      </c>
      <c r="K1182" s="84">
        <f t="shared" ca="1" si="14"/>
        <v>-11.050860263829124</v>
      </c>
      <c r="L1182" s="84">
        <f t="shared" ca="1" si="15"/>
        <v>-4.9699650479544646</v>
      </c>
      <c r="M1182" s="84">
        <f t="shared" ca="1" si="16"/>
        <v>-8.0104126558917983</v>
      </c>
      <c r="N1182" s="84">
        <f t="shared" ca="1" si="17"/>
        <v>-10.159964161413052</v>
      </c>
      <c r="O1182" s="84">
        <f t="shared" si="18"/>
        <v>-5.8608611503705372</v>
      </c>
      <c r="P1182" s="84">
        <f t="shared" ca="1" si="19"/>
        <v>-7.3590849048426614</v>
      </c>
      <c r="Q1182" s="84">
        <f t="shared" si="20"/>
        <v>-6.4804217089917202</v>
      </c>
    </row>
    <row r="1183" spans="10:17" x14ac:dyDescent="0.25">
      <c r="J1183" s="84">
        <f t="shared" ca="1" si="21"/>
        <v>-12.491738112734579</v>
      </c>
      <c r="K1183" s="84">
        <f t="shared" ca="1" si="14"/>
        <v>-11.050860263829124</v>
      </c>
      <c r="L1183" s="84">
        <f t="shared" ca="1" si="15"/>
        <v>-4.9699650479544646</v>
      </c>
      <c r="M1183" s="84">
        <f t="shared" ca="1" si="16"/>
        <v>-8.0104126558917983</v>
      </c>
      <c r="N1183" s="84">
        <f t="shared" ca="1" si="17"/>
        <v>-10.159964161413052</v>
      </c>
      <c r="O1183" s="84">
        <f t="shared" si="18"/>
        <v>-5.8608611503705372</v>
      </c>
      <c r="P1183" s="84">
        <f t="shared" ca="1" si="19"/>
        <v>-7.3590849048426614</v>
      </c>
      <c r="Q1183" s="84">
        <f t="shared" si="20"/>
        <v>-6.4804217089917202</v>
      </c>
    </row>
    <row r="1184" spans="10:17" x14ac:dyDescent="0.25">
      <c r="J1184" s="84">
        <f t="shared" ca="1" si="21"/>
        <v>-12.491738112734579</v>
      </c>
      <c r="K1184" s="84">
        <f t="shared" ca="1" si="14"/>
        <v>-11.050860263829124</v>
      </c>
      <c r="L1184" s="84">
        <f t="shared" ca="1" si="15"/>
        <v>-4.9699650479544646</v>
      </c>
      <c r="M1184" s="84">
        <f t="shared" ca="1" si="16"/>
        <v>-8.0104126558917983</v>
      </c>
      <c r="N1184" s="84">
        <f t="shared" ca="1" si="17"/>
        <v>-10.159964161413052</v>
      </c>
      <c r="O1184" s="84">
        <f t="shared" si="18"/>
        <v>-5.8608611503705372</v>
      </c>
      <c r="P1184" s="84">
        <f t="shared" ca="1" si="19"/>
        <v>-7.3590849048426614</v>
      </c>
      <c r="Q1184" s="84">
        <f t="shared" si="20"/>
        <v>-6.4804217089917202</v>
      </c>
    </row>
    <row r="1185" spans="10:17" x14ac:dyDescent="0.25">
      <c r="J1185" s="84">
        <f t="shared" ca="1" si="21"/>
        <v>-12.491738112734579</v>
      </c>
      <c r="K1185" s="84">
        <f t="shared" ca="1" si="14"/>
        <v>-11.050860263829124</v>
      </c>
      <c r="L1185" s="84">
        <f t="shared" ca="1" si="15"/>
        <v>-4.9699650479544646</v>
      </c>
      <c r="M1185" s="84">
        <f t="shared" ca="1" si="16"/>
        <v>-8.0104126558917983</v>
      </c>
      <c r="N1185" s="84">
        <f t="shared" ca="1" si="17"/>
        <v>-10.159964161413052</v>
      </c>
      <c r="O1185" s="84">
        <f t="shared" si="18"/>
        <v>-5.8608611503705372</v>
      </c>
      <c r="P1185" s="84">
        <f t="shared" ca="1" si="19"/>
        <v>-7.3590849048426614</v>
      </c>
      <c r="Q1185" s="84">
        <f t="shared" si="20"/>
        <v>-6.4804217089917202</v>
      </c>
    </row>
    <row r="1186" spans="10:17" x14ac:dyDescent="0.25">
      <c r="J1186" s="84">
        <f t="shared" ca="1" si="21"/>
        <v>-12.491738112734579</v>
      </c>
      <c r="K1186" s="84">
        <f t="shared" ca="1" si="14"/>
        <v>-11.050860263829124</v>
      </c>
      <c r="L1186" s="84">
        <f t="shared" ca="1" si="15"/>
        <v>-4.9699650479544646</v>
      </c>
      <c r="M1186" s="84">
        <f t="shared" ca="1" si="16"/>
        <v>-8.0104126558917983</v>
      </c>
      <c r="N1186" s="84">
        <f t="shared" ca="1" si="17"/>
        <v>-10.159964161413052</v>
      </c>
      <c r="O1186" s="84">
        <f t="shared" si="18"/>
        <v>-5.8608611503705372</v>
      </c>
      <c r="P1186" s="84">
        <f t="shared" ca="1" si="19"/>
        <v>-7.3590849048426614</v>
      </c>
      <c r="Q1186" s="84">
        <f t="shared" si="20"/>
        <v>-6.4804217089917202</v>
      </c>
    </row>
    <row r="1187" spans="10:17" x14ac:dyDescent="0.25">
      <c r="J1187" s="84">
        <f t="shared" ca="1" si="21"/>
        <v>-12.491738112734579</v>
      </c>
      <c r="K1187" s="84">
        <f t="shared" ca="1" si="14"/>
        <v>-11.050860263829124</v>
      </c>
      <c r="L1187" s="84">
        <f t="shared" ca="1" si="15"/>
        <v>-4.9699650479544646</v>
      </c>
      <c r="M1187" s="84">
        <f t="shared" ca="1" si="16"/>
        <v>-8.0104126558917983</v>
      </c>
      <c r="N1187" s="84">
        <f t="shared" ca="1" si="17"/>
        <v>-10.159964161413052</v>
      </c>
      <c r="O1187" s="84">
        <f t="shared" si="18"/>
        <v>-5.8608611503705372</v>
      </c>
      <c r="P1187" s="84">
        <f t="shared" ca="1" si="19"/>
        <v>-7.3590849048426614</v>
      </c>
      <c r="Q1187" s="84">
        <f t="shared" si="20"/>
        <v>-6.4804217089917202</v>
      </c>
    </row>
    <row r="1188" spans="10:17" x14ac:dyDescent="0.25">
      <c r="J1188" s="84">
        <f t="shared" ca="1" si="21"/>
        <v>-12.491738112734579</v>
      </c>
      <c r="K1188" s="84">
        <f t="shared" ca="1" si="14"/>
        <v>-11.050860263829124</v>
      </c>
      <c r="L1188" s="84">
        <f t="shared" ca="1" si="15"/>
        <v>-4.9699650479544646</v>
      </c>
      <c r="M1188" s="84">
        <f t="shared" ca="1" si="16"/>
        <v>-8.0104126558917983</v>
      </c>
      <c r="N1188" s="84">
        <f t="shared" ca="1" si="17"/>
        <v>-10.159964161413052</v>
      </c>
      <c r="O1188" s="84">
        <f t="shared" si="18"/>
        <v>-5.8608611503705372</v>
      </c>
      <c r="P1188" s="84">
        <f t="shared" ca="1" si="19"/>
        <v>-7.3590849048426614</v>
      </c>
      <c r="Q1188" s="84">
        <f t="shared" si="20"/>
        <v>-6.4804217089917202</v>
      </c>
    </row>
    <row r="1189" spans="10:17" x14ac:dyDescent="0.25">
      <c r="J1189" s="84">
        <f t="shared" ca="1" si="21"/>
        <v>-12.491738112734579</v>
      </c>
      <c r="K1189" s="84">
        <f t="shared" ca="1" si="14"/>
        <v>-11.050860263829124</v>
      </c>
      <c r="L1189" s="84">
        <f t="shared" ca="1" si="15"/>
        <v>-4.9699650479544646</v>
      </c>
      <c r="M1189" s="84">
        <f t="shared" ca="1" si="16"/>
        <v>-8.0104126558917983</v>
      </c>
      <c r="N1189" s="84">
        <f t="shared" ca="1" si="17"/>
        <v>-10.159964161413052</v>
      </c>
      <c r="O1189" s="84">
        <f t="shared" si="18"/>
        <v>-5.8608611503705372</v>
      </c>
      <c r="P1189" s="84">
        <f t="shared" ca="1" si="19"/>
        <v>-7.3590849048426614</v>
      </c>
      <c r="Q1189" s="84">
        <f t="shared" si="20"/>
        <v>-6.4804217089917202</v>
      </c>
    </row>
    <row r="1190" spans="10:17" x14ac:dyDescent="0.25">
      <c r="J1190" s="84">
        <f t="shared" ca="1" si="21"/>
        <v>-12.491738112734579</v>
      </c>
      <c r="K1190" s="84">
        <f t="shared" ca="1" si="14"/>
        <v>-11.050860263829124</v>
      </c>
      <c r="L1190" s="84">
        <f t="shared" ca="1" si="15"/>
        <v>-4.9699650479544646</v>
      </c>
      <c r="M1190" s="84">
        <f t="shared" ca="1" si="16"/>
        <v>-8.0104126558917983</v>
      </c>
      <c r="N1190" s="84">
        <f t="shared" ca="1" si="17"/>
        <v>-10.159964161413052</v>
      </c>
      <c r="O1190" s="84">
        <f t="shared" si="18"/>
        <v>-5.8608611503705372</v>
      </c>
      <c r="P1190" s="84">
        <f t="shared" ca="1" si="19"/>
        <v>-7.3590849048426614</v>
      </c>
      <c r="Q1190" s="84">
        <f t="shared" si="20"/>
        <v>-6.4804217089917202</v>
      </c>
    </row>
    <row r="1191" spans="10:17" x14ac:dyDescent="0.25">
      <c r="J1191" s="84">
        <f t="shared" ca="1" si="21"/>
        <v>-12.491738112734579</v>
      </c>
      <c r="K1191" s="84">
        <f t="shared" ca="1" si="14"/>
        <v>-11.050860263829124</v>
      </c>
      <c r="L1191" s="84">
        <f t="shared" ca="1" si="15"/>
        <v>-4.9699650479544646</v>
      </c>
      <c r="M1191" s="84">
        <f t="shared" ca="1" si="16"/>
        <v>-8.0104126558917983</v>
      </c>
      <c r="N1191" s="84">
        <f t="shared" ca="1" si="17"/>
        <v>-10.159964161413052</v>
      </c>
      <c r="O1191" s="84">
        <f t="shared" si="18"/>
        <v>-5.8608611503705372</v>
      </c>
      <c r="P1191" s="84">
        <f t="shared" ca="1" si="19"/>
        <v>-7.3590849048426614</v>
      </c>
      <c r="Q1191" s="84">
        <f t="shared" si="20"/>
        <v>-6.4804217089917202</v>
      </c>
    </row>
    <row r="1192" spans="10:17" x14ac:dyDescent="0.25">
      <c r="J1192" s="84">
        <f t="shared" ca="1" si="21"/>
        <v>-12.491738112734579</v>
      </c>
      <c r="K1192" s="84">
        <f t="shared" ca="1" si="14"/>
        <v>-11.050860263829124</v>
      </c>
      <c r="L1192" s="84">
        <f t="shared" ca="1" si="15"/>
        <v>-4.9699650479544646</v>
      </c>
      <c r="M1192" s="84">
        <f t="shared" ca="1" si="16"/>
        <v>-8.0104126558917983</v>
      </c>
      <c r="N1192" s="84">
        <f t="shared" ca="1" si="17"/>
        <v>-10.159964161413052</v>
      </c>
      <c r="O1192" s="84">
        <f t="shared" si="18"/>
        <v>-5.8608611503705372</v>
      </c>
      <c r="P1192" s="84">
        <f t="shared" ca="1" si="19"/>
        <v>-7.3590849048426614</v>
      </c>
      <c r="Q1192" s="84">
        <f t="shared" si="20"/>
        <v>-6.4804217089917202</v>
      </c>
    </row>
    <row r="1193" spans="10:17" x14ac:dyDescent="0.25">
      <c r="J1193" s="84">
        <f t="shared" ca="1" si="21"/>
        <v>-12.491738112734579</v>
      </c>
      <c r="K1193" s="84">
        <f t="shared" ca="1" si="14"/>
        <v>-11.050860263829124</v>
      </c>
      <c r="L1193" s="84">
        <f t="shared" ca="1" si="15"/>
        <v>-4.9699650479544646</v>
      </c>
      <c r="M1193" s="84">
        <f t="shared" ca="1" si="16"/>
        <v>-8.0104126558917983</v>
      </c>
      <c r="N1193" s="84">
        <f t="shared" ca="1" si="17"/>
        <v>-10.159964161413052</v>
      </c>
      <c r="O1193" s="84">
        <f t="shared" si="18"/>
        <v>-5.8608611503705372</v>
      </c>
      <c r="P1193" s="84">
        <f t="shared" ca="1" si="19"/>
        <v>-7.3590849048426614</v>
      </c>
      <c r="Q1193" s="84">
        <f t="shared" si="20"/>
        <v>-6.4804217089917202</v>
      </c>
    </row>
    <row r="1194" spans="10:17" x14ac:dyDescent="0.25">
      <c r="J1194" s="84">
        <f t="shared" ca="1" si="21"/>
        <v>-12.491738112734579</v>
      </c>
      <c r="K1194" s="84">
        <f t="shared" ca="1" si="14"/>
        <v>-11.050860263829124</v>
      </c>
      <c r="L1194" s="84">
        <f t="shared" ca="1" si="15"/>
        <v>-4.9699650479544646</v>
      </c>
      <c r="M1194" s="84">
        <f t="shared" ca="1" si="16"/>
        <v>-8.0104126558917983</v>
      </c>
      <c r="N1194" s="84">
        <f t="shared" ca="1" si="17"/>
        <v>-10.159964161413052</v>
      </c>
      <c r="O1194" s="84">
        <f t="shared" si="18"/>
        <v>-5.8608611503705372</v>
      </c>
      <c r="P1194" s="84">
        <f t="shared" ca="1" si="19"/>
        <v>-7.3590849048426614</v>
      </c>
      <c r="Q1194" s="84">
        <f t="shared" si="20"/>
        <v>-6.4804217089917202</v>
      </c>
    </row>
    <row r="1195" spans="10:17" x14ac:dyDescent="0.25">
      <c r="J1195" s="84">
        <f t="shared" ca="1" si="21"/>
        <v>-12.491738112734579</v>
      </c>
      <c r="K1195" s="84">
        <f t="shared" ca="1" si="14"/>
        <v>-11.050860263829124</v>
      </c>
      <c r="L1195" s="84">
        <f t="shared" ca="1" si="15"/>
        <v>-4.9699650479544646</v>
      </c>
      <c r="M1195" s="84">
        <f t="shared" ca="1" si="16"/>
        <v>-8.0104126558917983</v>
      </c>
      <c r="N1195" s="84">
        <f t="shared" ca="1" si="17"/>
        <v>-10.159964161413052</v>
      </c>
      <c r="O1195" s="84">
        <f t="shared" si="18"/>
        <v>-5.8608611503705372</v>
      </c>
      <c r="P1195" s="84">
        <f t="shared" ca="1" si="19"/>
        <v>-7.3590849048426614</v>
      </c>
      <c r="Q1195" s="84">
        <f t="shared" si="20"/>
        <v>-6.4804217089917202</v>
      </c>
    </row>
    <row r="1196" spans="10:17" x14ac:dyDescent="0.25">
      <c r="J1196" s="84">
        <f t="shared" ca="1" si="21"/>
        <v>-12.491738112734579</v>
      </c>
      <c r="K1196" s="84">
        <f t="shared" ref="K1196:K1259" ca="1" si="22">$AF$14-B1197</f>
        <v>-11.050860263829124</v>
      </c>
      <c r="L1196" s="84">
        <f t="shared" ref="L1196:L1259" ca="1" si="23">-0.5*B1197-$AF$15</f>
        <v>-4.9699650479544646</v>
      </c>
      <c r="M1196" s="84">
        <f t="shared" ref="M1196:M1259" ca="1" si="24">-0.75*B1197-$AF$16</f>
        <v>-8.0104126558917983</v>
      </c>
      <c r="N1196" s="84">
        <f t="shared" ref="N1196:N1259" ca="1" si="25">-B1197-$AF$17</f>
        <v>-10.159964161413052</v>
      </c>
      <c r="O1196" s="84">
        <f t="shared" ref="O1196:O1259" si="26">(-0.25*B1197-$AF$18)/0.5</f>
        <v>-5.8608611503705372</v>
      </c>
      <c r="P1196" s="84">
        <f t="shared" ca="1" si="19"/>
        <v>-7.3590849048426614</v>
      </c>
      <c r="Q1196" s="84">
        <f t="shared" ref="Q1196:Q1259" si="27">-0.5*B1197-$AF$20</f>
        <v>-6.4804217089917202</v>
      </c>
    </row>
    <row r="1197" spans="10:17" x14ac:dyDescent="0.25">
      <c r="J1197" s="84">
        <f t="shared" ca="1" si="21"/>
        <v>-12.491738112734579</v>
      </c>
      <c r="K1197" s="84">
        <f t="shared" ca="1" si="22"/>
        <v>-11.050860263829124</v>
      </c>
      <c r="L1197" s="84">
        <f t="shared" ca="1" si="23"/>
        <v>-4.9699650479544646</v>
      </c>
      <c r="M1197" s="84">
        <f t="shared" ca="1" si="24"/>
        <v>-8.0104126558917983</v>
      </c>
      <c r="N1197" s="84">
        <f t="shared" ca="1" si="25"/>
        <v>-10.159964161413052</v>
      </c>
      <c r="O1197" s="84">
        <f t="shared" si="26"/>
        <v>-5.8608611503705372</v>
      </c>
      <c r="P1197" s="84">
        <f t="shared" ca="1" si="19"/>
        <v>-7.3590849048426614</v>
      </c>
      <c r="Q1197" s="84">
        <f t="shared" si="27"/>
        <v>-6.4804217089917202</v>
      </c>
    </row>
    <row r="1198" spans="10:17" x14ac:dyDescent="0.25">
      <c r="J1198" s="84">
        <f t="shared" ca="1" si="21"/>
        <v>-12.491738112734579</v>
      </c>
      <c r="K1198" s="84">
        <f t="shared" ca="1" si="22"/>
        <v>-11.050860263829124</v>
      </c>
      <c r="L1198" s="84">
        <f t="shared" ca="1" si="23"/>
        <v>-4.9699650479544646</v>
      </c>
      <c r="M1198" s="84">
        <f t="shared" ca="1" si="24"/>
        <v>-8.0104126558917983</v>
      </c>
      <c r="N1198" s="84">
        <f t="shared" ca="1" si="25"/>
        <v>-10.159964161413052</v>
      </c>
      <c r="O1198" s="84">
        <f t="shared" si="26"/>
        <v>-5.8608611503705372</v>
      </c>
      <c r="P1198" s="84">
        <f t="shared" ca="1" si="19"/>
        <v>-7.3590849048426614</v>
      </c>
      <c r="Q1198" s="84">
        <f t="shared" si="27"/>
        <v>-6.4804217089917202</v>
      </c>
    </row>
    <row r="1199" spans="10:17" x14ac:dyDescent="0.25">
      <c r="J1199" s="84">
        <f t="shared" ca="1" si="21"/>
        <v>-12.491738112734579</v>
      </c>
      <c r="K1199" s="84">
        <f t="shared" ca="1" si="22"/>
        <v>-11.050860263829124</v>
      </c>
      <c r="L1199" s="84">
        <f t="shared" ca="1" si="23"/>
        <v>-4.9699650479544646</v>
      </c>
      <c r="M1199" s="84">
        <f t="shared" ca="1" si="24"/>
        <v>-8.0104126558917983</v>
      </c>
      <c r="N1199" s="84">
        <f t="shared" ca="1" si="25"/>
        <v>-10.159964161413052</v>
      </c>
      <c r="O1199" s="84">
        <f t="shared" si="26"/>
        <v>-5.8608611503705372</v>
      </c>
      <c r="P1199" s="84">
        <f t="shared" ca="1" si="19"/>
        <v>-7.3590849048426614</v>
      </c>
      <c r="Q1199" s="84">
        <f t="shared" si="27"/>
        <v>-6.4804217089917202</v>
      </c>
    </row>
    <row r="1200" spans="10:17" x14ac:dyDescent="0.25">
      <c r="J1200" s="84">
        <f t="shared" ca="1" si="21"/>
        <v>-12.491738112734579</v>
      </c>
      <c r="K1200" s="84">
        <f t="shared" ca="1" si="22"/>
        <v>-11.050860263829124</v>
      </c>
      <c r="L1200" s="84">
        <f t="shared" ca="1" si="23"/>
        <v>-4.9699650479544646</v>
      </c>
      <c r="M1200" s="84">
        <f t="shared" ca="1" si="24"/>
        <v>-8.0104126558917983</v>
      </c>
      <c r="N1200" s="84">
        <f t="shared" ca="1" si="25"/>
        <v>-10.159964161413052</v>
      </c>
      <c r="O1200" s="84">
        <f t="shared" si="26"/>
        <v>-5.8608611503705372</v>
      </c>
      <c r="P1200" s="84">
        <f t="shared" ca="1" si="19"/>
        <v>-7.3590849048426614</v>
      </c>
      <c r="Q1200" s="84">
        <f t="shared" si="27"/>
        <v>-6.4804217089917202</v>
      </c>
    </row>
    <row r="1201" spans="10:17" x14ac:dyDescent="0.25">
      <c r="J1201" s="84">
        <f t="shared" ca="1" si="21"/>
        <v>-12.491738112734579</v>
      </c>
      <c r="K1201" s="84">
        <f t="shared" ca="1" si="22"/>
        <v>-11.050860263829124</v>
      </c>
      <c r="L1201" s="84">
        <f t="shared" ca="1" si="23"/>
        <v>-4.9699650479544646</v>
      </c>
      <c r="M1201" s="84">
        <f t="shared" ca="1" si="24"/>
        <v>-8.0104126558917983</v>
      </c>
      <c r="N1201" s="84">
        <f t="shared" ca="1" si="25"/>
        <v>-10.159964161413052</v>
      </c>
      <c r="O1201" s="84">
        <f t="shared" si="26"/>
        <v>-5.8608611503705372</v>
      </c>
      <c r="P1201" s="84">
        <f t="shared" ca="1" si="19"/>
        <v>-7.3590849048426614</v>
      </c>
      <c r="Q1201" s="84">
        <f t="shared" si="27"/>
        <v>-6.4804217089917202</v>
      </c>
    </row>
    <row r="1202" spans="10:17" x14ac:dyDescent="0.25">
      <c r="J1202" s="84">
        <f t="shared" ca="1" si="21"/>
        <v>-12.491738112734579</v>
      </c>
      <c r="K1202" s="84">
        <f t="shared" ca="1" si="22"/>
        <v>-11.050860263829124</v>
      </c>
      <c r="L1202" s="84">
        <f t="shared" ca="1" si="23"/>
        <v>-4.9699650479544646</v>
      </c>
      <c r="M1202" s="84">
        <f t="shared" ca="1" si="24"/>
        <v>-8.0104126558917983</v>
      </c>
      <c r="N1202" s="84">
        <f t="shared" ca="1" si="25"/>
        <v>-10.159964161413052</v>
      </c>
      <c r="O1202" s="84">
        <f t="shared" si="26"/>
        <v>-5.8608611503705372</v>
      </c>
      <c r="P1202" s="84">
        <f t="shared" ca="1" si="19"/>
        <v>-7.3590849048426614</v>
      </c>
      <c r="Q1202" s="84">
        <f t="shared" si="27"/>
        <v>-6.4804217089917202</v>
      </c>
    </row>
    <row r="1203" spans="10:17" x14ac:dyDescent="0.25">
      <c r="J1203" s="84">
        <f t="shared" ca="1" si="21"/>
        <v>-12.491738112734579</v>
      </c>
      <c r="K1203" s="84">
        <f t="shared" ca="1" si="22"/>
        <v>-11.050860263829124</v>
      </c>
      <c r="L1203" s="84">
        <f t="shared" ca="1" si="23"/>
        <v>-4.9699650479544646</v>
      </c>
      <c r="M1203" s="84">
        <f t="shared" ca="1" si="24"/>
        <v>-8.0104126558917983</v>
      </c>
      <c r="N1203" s="84">
        <f t="shared" ca="1" si="25"/>
        <v>-10.159964161413052</v>
      </c>
      <c r="O1203" s="84">
        <f t="shared" si="26"/>
        <v>-5.8608611503705372</v>
      </c>
      <c r="P1203" s="84">
        <f t="shared" ca="1" si="19"/>
        <v>-7.3590849048426614</v>
      </c>
      <c r="Q1203" s="84">
        <f t="shared" si="27"/>
        <v>-6.4804217089917202</v>
      </c>
    </row>
    <row r="1204" spans="10:17" x14ac:dyDescent="0.25">
      <c r="J1204" s="84">
        <f t="shared" ca="1" si="21"/>
        <v>-12.491738112734579</v>
      </c>
      <c r="K1204" s="84">
        <f t="shared" ca="1" si="22"/>
        <v>-11.050860263829124</v>
      </c>
      <c r="L1204" s="84">
        <f t="shared" ca="1" si="23"/>
        <v>-4.9699650479544646</v>
      </c>
      <c r="M1204" s="84">
        <f t="shared" ca="1" si="24"/>
        <v>-8.0104126558917983</v>
      </c>
      <c r="N1204" s="84">
        <f t="shared" ca="1" si="25"/>
        <v>-10.159964161413052</v>
      </c>
      <c r="O1204" s="84">
        <f t="shared" si="26"/>
        <v>-5.8608611503705372</v>
      </c>
      <c r="P1204" s="84">
        <f t="shared" ca="1" si="19"/>
        <v>-7.3590849048426614</v>
      </c>
      <c r="Q1204" s="84">
        <f t="shared" si="27"/>
        <v>-6.4804217089917202</v>
      </c>
    </row>
    <row r="1205" spans="10:17" x14ac:dyDescent="0.25">
      <c r="J1205" s="84">
        <f t="shared" ca="1" si="21"/>
        <v>-12.491738112734579</v>
      </c>
      <c r="K1205" s="84">
        <f t="shared" ca="1" si="22"/>
        <v>-11.050860263829124</v>
      </c>
      <c r="L1205" s="84">
        <f t="shared" ca="1" si="23"/>
        <v>-4.9699650479544646</v>
      </c>
      <c r="M1205" s="84">
        <f t="shared" ca="1" si="24"/>
        <v>-8.0104126558917983</v>
      </c>
      <c r="N1205" s="84">
        <f t="shared" ca="1" si="25"/>
        <v>-10.159964161413052</v>
      </c>
      <c r="O1205" s="84">
        <f t="shared" si="26"/>
        <v>-5.8608611503705372</v>
      </c>
      <c r="P1205" s="84">
        <f t="shared" ca="1" si="19"/>
        <v>-7.3590849048426614</v>
      </c>
      <c r="Q1205" s="84">
        <f t="shared" si="27"/>
        <v>-6.4804217089917202</v>
      </c>
    </row>
    <row r="1206" spans="10:17" x14ac:dyDescent="0.25">
      <c r="J1206" s="84">
        <f t="shared" ca="1" si="21"/>
        <v>-12.491738112734579</v>
      </c>
      <c r="K1206" s="84">
        <f t="shared" ca="1" si="22"/>
        <v>-11.050860263829124</v>
      </c>
      <c r="L1206" s="84">
        <f t="shared" ca="1" si="23"/>
        <v>-4.9699650479544646</v>
      </c>
      <c r="M1206" s="84">
        <f t="shared" ca="1" si="24"/>
        <v>-8.0104126558917983</v>
      </c>
      <c r="N1206" s="84">
        <f t="shared" ca="1" si="25"/>
        <v>-10.159964161413052</v>
      </c>
      <c r="O1206" s="84">
        <f t="shared" si="26"/>
        <v>-5.8608611503705372</v>
      </c>
      <c r="P1206" s="84">
        <f t="shared" ca="1" si="19"/>
        <v>-7.3590849048426614</v>
      </c>
      <c r="Q1206" s="84">
        <f t="shared" si="27"/>
        <v>-6.4804217089917202</v>
      </c>
    </row>
    <row r="1207" spans="10:17" x14ac:dyDescent="0.25">
      <c r="J1207" s="84">
        <f t="shared" ca="1" si="21"/>
        <v>-12.491738112734579</v>
      </c>
      <c r="K1207" s="84">
        <f t="shared" ca="1" si="22"/>
        <v>-11.050860263829124</v>
      </c>
      <c r="L1207" s="84">
        <f t="shared" ca="1" si="23"/>
        <v>-4.9699650479544646</v>
      </c>
      <c r="M1207" s="84">
        <f t="shared" ca="1" si="24"/>
        <v>-8.0104126558917983</v>
      </c>
      <c r="N1207" s="84">
        <f t="shared" ca="1" si="25"/>
        <v>-10.159964161413052</v>
      </c>
      <c r="O1207" s="84">
        <f t="shared" si="26"/>
        <v>-5.8608611503705372</v>
      </c>
      <c r="P1207" s="84">
        <f t="shared" ca="1" si="19"/>
        <v>-7.3590849048426614</v>
      </c>
      <c r="Q1207" s="84">
        <f t="shared" si="27"/>
        <v>-6.4804217089917202</v>
      </c>
    </row>
    <row r="1208" spans="10:17" x14ac:dyDescent="0.25">
      <c r="J1208" s="84">
        <f t="shared" ca="1" si="21"/>
        <v>-12.491738112734579</v>
      </c>
      <c r="K1208" s="84">
        <f t="shared" ca="1" si="22"/>
        <v>-11.050860263829124</v>
      </c>
      <c r="L1208" s="84">
        <f t="shared" ca="1" si="23"/>
        <v>-4.9699650479544646</v>
      </c>
      <c r="M1208" s="84">
        <f t="shared" ca="1" si="24"/>
        <v>-8.0104126558917983</v>
      </c>
      <c r="N1208" s="84">
        <f t="shared" ca="1" si="25"/>
        <v>-10.159964161413052</v>
      </c>
      <c r="O1208" s="84">
        <f t="shared" si="26"/>
        <v>-5.8608611503705372</v>
      </c>
      <c r="P1208" s="84">
        <f t="shared" ref="P1208:P1271" ca="1" si="28">$AF$19/$S$19</f>
        <v>-7.3590849048426614</v>
      </c>
      <c r="Q1208" s="84">
        <f t="shared" si="27"/>
        <v>-6.4804217089917202</v>
      </c>
    </row>
    <row r="1209" spans="10:17" x14ac:dyDescent="0.25">
      <c r="J1209" s="84">
        <f t="shared" ref="J1209:J1272" ca="1" si="29">$AF$13/$S$13</f>
        <v>-12.491738112734579</v>
      </c>
      <c r="K1209" s="84">
        <f t="shared" ca="1" si="22"/>
        <v>-11.050860263829124</v>
      </c>
      <c r="L1209" s="84">
        <f t="shared" ca="1" si="23"/>
        <v>-4.9699650479544646</v>
      </c>
      <c r="M1209" s="84">
        <f t="shared" ca="1" si="24"/>
        <v>-8.0104126558917983</v>
      </c>
      <c r="N1209" s="84">
        <f t="shared" ca="1" si="25"/>
        <v>-10.159964161413052</v>
      </c>
      <c r="O1209" s="84">
        <f t="shared" si="26"/>
        <v>-5.8608611503705372</v>
      </c>
      <c r="P1209" s="84">
        <f t="shared" ca="1" si="28"/>
        <v>-7.3590849048426614</v>
      </c>
      <c r="Q1209" s="84">
        <f t="shared" si="27"/>
        <v>-6.4804217089917202</v>
      </c>
    </row>
    <row r="1210" spans="10:17" x14ac:dyDescent="0.25">
      <c r="J1210" s="84">
        <f t="shared" ca="1" si="29"/>
        <v>-12.491738112734579</v>
      </c>
      <c r="K1210" s="84">
        <f t="shared" ca="1" si="22"/>
        <v>-11.050860263829124</v>
      </c>
      <c r="L1210" s="84">
        <f t="shared" ca="1" si="23"/>
        <v>-4.9699650479544646</v>
      </c>
      <c r="M1210" s="84">
        <f t="shared" ca="1" si="24"/>
        <v>-8.0104126558917983</v>
      </c>
      <c r="N1210" s="84">
        <f t="shared" ca="1" si="25"/>
        <v>-10.159964161413052</v>
      </c>
      <c r="O1210" s="84">
        <f t="shared" si="26"/>
        <v>-5.8608611503705372</v>
      </c>
      <c r="P1210" s="84">
        <f t="shared" ca="1" si="28"/>
        <v>-7.3590849048426614</v>
      </c>
      <c r="Q1210" s="84">
        <f t="shared" si="27"/>
        <v>-6.4804217089917202</v>
      </c>
    </row>
    <row r="1211" spans="10:17" x14ac:dyDescent="0.25">
      <c r="J1211" s="84">
        <f t="shared" ca="1" si="29"/>
        <v>-12.491738112734579</v>
      </c>
      <c r="K1211" s="84">
        <f t="shared" ca="1" si="22"/>
        <v>-11.050860263829124</v>
      </c>
      <c r="L1211" s="84">
        <f t="shared" ca="1" si="23"/>
        <v>-4.9699650479544646</v>
      </c>
      <c r="M1211" s="84">
        <f t="shared" ca="1" si="24"/>
        <v>-8.0104126558917983</v>
      </c>
      <c r="N1211" s="84">
        <f t="shared" ca="1" si="25"/>
        <v>-10.159964161413052</v>
      </c>
      <c r="O1211" s="84">
        <f t="shared" si="26"/>
        <v>-5.8608611503705372</v>
      </c>
      <c r="P1211" s="84">
        <f t="shared" ca="1" si="28"/>
        <v>-7.3590849048426614</v>
      </c>
      <c r="Q1211" s="84">
        <f t="shared" si="27"/>
        <v>-6.4804217089917202</v>
      </c>
    </row>
    <row r="1212" spans="10:17" x14ac:dyDescent="0.25">
      <c r="J1212" s="84">
        <f t="shared" ca="1" si="29"/>
        <v>-12.491738112734579</v>
      </c>
      <c r="K1212" s="84">
        <f t="shared" ca="1" si="22"/>
        <v>-11.050860263829124</v>
      </c>
      <c r="L1212" s="84">
        <f t="shared" ca="1" si="23"/>
        <v>-4.9699650479544646</v>
      </c>
      <c r="M1212" s="84">
        <f t="shared" ca="1" si="24"/>
        <v>-8.0104126558917983</v>
      </c>
      <c r="N1212" s="84">
        <f t="shared" ca="1" si="25"/>
        <v>-10.159964161413052</v>
      </c>
      <c r="O1212" s="84">
        <f t="shared" si="26"/>
        <v>-5.8608611503705372</v>
      </c>
      <c r="P1212" s="84">
        <f t="shared" ca="1" si="28"/>
        <v>-7.3590849048426614</v>
      </c>
      <c r="Q1212" s="84">
        <f t="shared" si="27"/>
        <v>-6.4804217089917202</v>
      </c>
    </row>
    <row r="1213" spans="10:17" x14ac:dyDescent="0.25">
      <c r="J1213" s="84">
        <f t="shared" ca="1" si="29"/>
        <v>-12.491738112734579</v>
      </c>
      <c r="K1213" s="84">
        <f t="shared" ca="1" si="22"/>
        <v>-11.050860263829124</v>
      </c>
      <c r="L1213" s="84">
        <f t="shared" ca="1" si="23"/>
        <v>-4.9699650479544646</v>
      </c>
      <c r="M1213" s="84">
        <f t="shared" ca="1" si="24"/>
        <v>-8.0104126558917983</v>
      </c>
      <c r="N1213" s="84">
        <f t="shared" ca="1" si="25"/>
        <v>-10.159964161413052</v>
      </c>
      <c r="O1213" s="84">
        <f t="shared" si="26"/>
        <v>-5.8608611503705372</v>
      </c>
      <c r="P1213" s="84">
        <f t="shared" ca="1" si="28"/>
        <v>-7.3590849048426614</v>
      </c>
      <c r="Q1213" s="84">
        <f t="shared" si="27"/>
        <v>-6.4804217089917202</v>
      </c>
    </row>
    <row r="1214" spans="10:17" x14ac:dyDescent="0.25">
      <c r="J1214" s="84">
        <f t="shared" ca="1" si="29"/>
        <v>-12.491738112734579</v>
      </c>
      <c r="K1214" s="84">
        <f t="shared" ca="1" si="22"/>
        <v>-11.050860263829124</v>
      </c>
      <c r="L1214" s="84">
        <f t="shared" ca="1" si="23"/>
        <v>-4.9699650479544646</v>
      </c>
      <c r="M1214" s="84">
        <f t="shared" ca="1" si="24"/>
        <v>-8.0104126558917983</v>
      </c>
      <c r="N1214" s="84">
        <f t="shared" ca="1" si="25"/>
        <v>-10.159964161413052</v>
      </c>
      <c r="O1214" s="84">
        <f t="shared" si="26"/>
        <v>-5.8608611503705372</v>
      </c>
      <c r="P1214" s="84">
        <f t="shared" ca="1" si="28"/>
        <v>-7.3590849048426614</v>
      </c>
      <c r="Q1214" s="84">
        <f t="shared" si="27"/>
        <v>-6.4804217089917202</v>
      </c>
    </row>
    <row r="1215" spans="10:17" x14ac:dyDescent="0.25">
      <c r="J1215" s="84">
        <f t="shared" ca="1" si="29"/>
        <v>-12.491738112734579</v>
      </c>
      <c r="K1215" s="84">
        <f t="shared" ca="1" si="22"/>
        <v>-11.050860263829124</v>
      </c>
      <c r="L1215" s="84">
        <f t="shared" ca="1" si="23"/>
        <v>-4.9699650479544646</v>
      </c>
      <c r="M1215" s="84">
        <f t="shared" ca="1" si="24"/>
        <v>-8.0104126558917983</v>
      </c>
      <c r="N1215" s="84">
        <f t="shared" ca="1" si="25"/>
        <v>-10.159964161413052</v>
      </c>
      <c r="O1215" s="84">
        <f t="shared" si="26"/>
        <v>-5.8608611503705372</v>
      </c>
      <c r="P1215" s="84">
        <f t="shared" ca="1" si="28"/>
        <v>-7.3590849048426614</v>
      </c>
      <c r="Q1215" s="84">
        <f t="shared" si="27"/>
        <v>-6.4804217089917202</v>
      </c>
    </row>
    <row r="1216" spans="10:17" x14ac:dyDescent="0.25">
      <c r="J1216" s="84">
        <f t="shared" ca="1" si="29"/>
        <v>-12.491738112734579</v>
      </c>
      <c r="K1216" s="84">
        <f t="shared" ca="1" si="22"/>
        <v>-11.050860263829124</v>
      </c>
      <c r="L1216" s="84">
        <f t="shared" ca="1" si="23"/>
        <v>-4.9699650479544646</v>
      </c>
      <c r="M1216" s="84">
        <f t="shared" ca="1" si="24"/>
        <v>-8.0104126558917983</v>
      </c>
      <c r="N1216" s="84">
        <f t="shared" ca="1" si="25"/>
        <v>-10.159964161413052</v>
      </c>
      <c r="O1216" s="84">
        <f t="shared" si="26"/>
        <v>-5.8608611503705372</v>
      </c>
      <c r="P1216" s="84">
        <f t="shared" ca="1" si="28"/>
        <v>-7.3590849048426614</v>
      </c>
      <c r="Q1216" s="84">
        <f t="shared" si="27"/>
        <v>-6.4804217089917202</v>
      </c>
    </row>
    <row r="1217" spans="10:17" x14ac:dyDescent="0.25">
      <c r="J1217" s="84">
        <f t="shared" ca="1" si="29"/>
        <v>-12.491738112734579</v>
      </c>
      <c r="K1217" s="84">
        <f t="shared" ca="1" si="22"/>
        <v>-11.050860263829124</v>
      </c>
      <c r="L1217" s="84">
        <f t="shared" ca="1" si="23"/>
        <v>-4.9699650479544646</v>
      </c>
      <c r="M1217" s="84">
        <f t="shared" ca="1" si="24"/>
        <v>-8.0104126558917983</v>
      </c>
      <c r="N1217" s="84">
        <f t="shared" ca="1" si="25"/>
        <v>-10.159964161413052</v>
      </c>
      <c r="O1217" s="84">
        <f t="shared" si="26"/>
        <v>-5.8608611503705372</v>
      </c>
      <c r="P1217" s="84">
        <f t="shared" ca="1" si="28"/>
        <v>-7.3590849048426614</v>
      </c>
      <c r="Q1217" s="84">
        <f t="shared" si="27"/>
        <v>-6.4804217089917202</v>
      </c>
    </row>
    <row r="1218" spans="10:17" x14ac:dyDescent="0.25">
      <c r="J1218" s="84">
        <f t="shared" ca="1" si="29"/>
        <v>-12.491738112734579</v>
      </c>
      <c r="K1218" s="84">
        <f t="shared" ca="1" si="22"/>
        <v>-11.050860263829124</v>
      </c>
      <c r="L1218" s="84">
        <f t="shared" ca="1" si="23"/>
        <v>-4.9699650479544646</v>
      </c>
      <c r="M1218" s="84">
        <f t="shared" ca="1" si="24"/>
        <v>-8.0104126558917983</v>
      </c>
      <c r="N1218" s="84">
        <f t="shared" ca="1" si="25"/>
        <v>-10.159964161413052</v>
      </c>
      <c r="O1218" s="84">
        <f t="shared" si="26"/>
        <v>-5.8608611503705372</v>
      </c>
      <c r="P1218" s="84">
        <f t="shared" ca="1" si="28"/>
        <v>-7.3590849048426614</v>
      </c>
      <c r="Q1218" s="84">
        <f t="shared" si="27"/>
        <v>-6.4804217089917202</v>
      </c>
    </row>
    <row r="1219" spans="10:17" x14ac:dyDescent="0.25">
      <c r="J1219" s="84">
        <f t="shared" ca="1" si="29"/>
        <v>-12.491738112734579</v>
      </c>
      <c r="K1219" s="84">
        <f t="shared" ca="1" si="22"/>
        <v>-11.050860263829124</v>
      </c>
      <c r="L1219" s="84">
        <f t="shared" ca="1" si="23"/>
        <v>-4.9699650479544646</v>
      </c>
      <c r="M1219" s="84">
        <f t="shared" ca="1" si="24"/>
        <v>-8.0104126558917983</v>
      </c>
      <c r="N1219" s="84">
        <f t="shared" ca="1" si="25"/>
        <v>-10.159964161413052</v>
      </c>
      <c r="O1219" s="84">
        <f t="shared" si="26"/>
        <v>-5.8608611503705372</v>
      </c>
      <c r="P1219" s="84">
        <f t="shared" ca="1" si="28"/>
        <v>-7.3590849048426614</v>
      </c>
      <c r="Q1219" s="84">
        <f t="shared" si="27"/>
        <v>-6.4804217089917202</v>
      </c>
    </row>
    <row r="1220" spans="10:17" x14ac:dyDescent="0.25">
      <c r="J1220" s="84">
        <f t="shared" ca="1" si="29"/>
        <v>-12.491738112734579</v>
      </c>
      <c r="K1220" s="84">
        <f t="shared" ca="1" si="22"/>
        <v>-11.050860263829124</v>
      </c>
      <c r="L1220" s="84">
        <f t="shared" ca="1" si="23"/>
        <v>-4.9699650479544646</v>
      </c>
      <c r="M1220" s="84">
        <f t="shared" ca="1" si="24"/>
        <v>-8.0104126558917983</v>
      </c>
      <c r="N1220" s="84">
        <f t="shared" ca="1" si="25"/>
        <v>-10.159964161413052</v>
      </c>
      <c r="O1220" s="84">
        <f t="shared" si="26"/>
        <v>-5.8608611503705372</v>
      </c>
      <c r="P1220" s="84">
        <f t="shared" ca="1" si="28"/>
        <v>-7.3590849048426614</v>
      </c>
      <c r="Q1220" s="84">
        <f t="shared" si="27"/>
        <v>-6.4804217089917202</v>
      </c>
    </row>
    <row r="1221" spans="10:17" x14ac:dyDescent="0.25">
      <c r="J1221" s="84">
        <f t="shared" ca="1" si="29"/>
        <v>-12.491738112734579</v>
      </c>
      <c r="K1221" s="84">
        <f t="shared" ca="1" si="22"/>
        <v>-11.050860263829124</v>
      </c>
      <c r="L1221" s="84">
        <f t="shared" ca="1" si="23"/>
        <v>-4.9699650479544646</v>
      </c>
      <c r="M1221" s="84">
        <f t="shared" ca="1" si="24"/>
        <v>-8.0104126558917983</v>
      </c>
      <c r="N1221" s="84">
        <f t="shared" ca="1" si="25"/>
        <v>-10.159964161413052</v>
      </c>
      <c r="O1221" s="84">
        <f t="shared" si="26"/>
        <v>-5.8608611503705372</v>
      </c>
      <c r="P1221" s="84">
        <f t="shared" ca="1" si="28"/>
        <v>-7.3590849048426614</v>
      </c>
      <c r="Q1221" s="84">
        <f t="shared" si="27"/>
        <v>-6.4804217089917202</v>
      </c>
    </row>
    <row r="1222" spans="10:17" x14ac:dyDescent="0.25">
      <c r="J1222" s="84">
        <f t="shared" ca="1" si="29"/>
        <v>-12.491738112734579</v>
      </c>
      <c r="K1222" s="84">
        <f t="shared" ca="1" si="22"/>
        <v>-11.050860263829124</v>
      </c>
      <c r="L1222" s="84">
        <f t="shared" ca="1" si="23"/>
        <v>-4.9699650479544646</v>
      </c>
      <c r="M1222" s="84">
        <f t="shared" ca="1" si="24"/>
        <v>-8.0104126558917983</v>
      </c>
      <c r="N1222" s="84">
        <f t="shared" ca="1" si="25"/>
        <v>-10.159964161413052</v>
      </c>
      <c r="O1222" s="84">
        <f t="shared" si="26"/>
        <v>-5.8608611503705372</v>
      </c>
      <c r="P1222" s="84">
        <f t="shared" ca="1" si="28"/>
        <v>-7.3590849048426614</v>
      </c>
      <c r="Q1222" s="84">
        <f t="shared" si="27"/>
        <v>-6.4804217089917202</v>
      </c>
    </row>
    <row r="1223" spans="10:17" x14ac:dyDescent="0.25">
      <c r="J1223" s="84">
        <f t="shared" ca="1" si="29"/>
        <v>-12.491738112734579</v>
      </c>
      <c r="K1223" s="84">
        <f t="shared" ca="1" si="22"/>
        <v>-11.050860263829124</v>
      </c>
      <c r="L1223" s="84">
        <f t="shared" ca="1" si="23"/>
        <v>-4.9699650479544646</v>
      </c>
      <c r="M1223" s="84">
        <f t="shared" ca="1" si="24"/>
        <v>-8.0104126558917983</v>
      </c>
      <c r="N1223" s="84">
        <f t="shared" ca="1" si="25"/>
        <v>-10.159964161413052</v>
      </c>
      <c r="O1223" s="84">
        <f t="shared" si="26"/>
        <v>-5.8608611503705372</v>
      </c>
      <c r="P1223" s="84">
        <f t="shared" ca="1" si="28"/>
        <v>-7.3590849048426614</v>
      </c>
      <c r="Q1223" s="84">
        <f t="shared" si="27"/>
        <v>-6.4804217089917202</v>
      </c>
    </row>
    <row r="1224" spans="10:17" x14ac:dyDescent="0.25">
      <c r="J1224" s="84">
        <f t="shared" ca="1" si="29"/>
        <v>-12.491738112734579</v>
      </c>
      <c r="K1224" s="84">
        <f t="shared" ca="1" si="22"/>
        <v>-11.050860263829124</v>
      </c>
      <c r="L1224" s="84">
        <f t="shared" ca="1" si="23"/>
        <v>-4.9699650479544646</v>
      </c>
      <c r="M1224" s="84">
        <f t="shared" ca="1" si="24"/>
        <v>-8.0104126558917983</v>
      </c>
      <c r="N1224" s="84">
        <f t="shared" ca="1" si="25"/>
        <v>-10.159964161413052</v>
      </c>
      <c r="O1224" s="84">
        <f t="shared" si="26"/>
        <v>-5.8608611503705372</v>
      </c>
      <c r="P1224" s="84">
        <f t="shared" ca="1" si="28"/>
        <v>-7.3590849048426614</v>
      </c>
      <c r="Q1224" s="84">
        <f t="shared" si="27"/>
        <v>-6.4804217089917202</v>
      </c>
    </row>
    <row r="1225" spans="10:17" x14ac:dyDescent="0.25">
      <c r="J1225" s="84">
        <f t="shared" ca="1" si="29"/>
        <v>-12.491738112734579</v>
      </c>
      <c r="K1225" s="84">
        <f t="shared" ca="1" si="22"/>
        <v>-11.050860263829124</v>
      </c>
      <c r="L1225" s="84">
        <f t="shared" ca="1" si="23"/>
        <v>-4.9699650479544646</v>
      </c>
      <c r="M1225" s="84">
        <f t="shared" ca="1" si="24"/>
        <v>-8.0104126558917983</v>
      </c>
      <c r="N1225" s="84">
        <f t="shared" ca="1" si="25"/>
        <v>-10.159964161413052</v>
      </c>
      <c r="O1225" s="84">
        <f t="shared" si="26"/>
        <v>-5.8608611503705372</v>
      </c>
      <c r="P1225" s="84">
        <f t="shared" ca="1" si="28"/>
        <v>-7.3590849048426614</v>
      </c>
      <c r="Q1225" s="84">
        <f t="shared" si="27"/>
        <v>-6.4804217089917202</v>
      </c>
    </row>
    <row r="1226" spans="10:17" x14ac:dyDescent="0.25">
      <c r="J1226" s="84">
        <f t="shared" ca="1" si="29"/>
        <v>-12.491738112734579</v>
      </c>
      <c r="K1226" s="84">
        <f t="shared" ca="1" si="22"/>
        <v>-11.050860263829124</v>
      </c>
      <c r="L1226" s="84">
        <f t="shared" ca="1" si="23"/>
        <v>-4.9699650479544646</v>
      </c>
      <c r="M1226" s="84">
        <f t="shared" ca="1" si="24"/>
        <v>-8.0104126558917983</v>
      </c>
      <c r="N1226" s="84">
        <f t="shared" ca="1" si="25"/>
        <v>-10.159964161413052</v>
      </c>
      <c r="O1226" s="84">
        <f t="shared" si="26"/>
        <v>-5.8608611503705372</v>
      </c>
      <c r="P1226" s="84">
        <f t="shared" ca="1" si="28"/>
        <v>-7.3590849048426614</v>
      </c>
      <c r="Q1226" s="84">
        <f t="shared" si="27"/>
        <v>-6.4804217089917202</v>
      </c>
    </row>
    <row r="1227" spans="10:17" x14ac:dyDescent="0.25">
      <c r="J1227" s="84">
        <f t="shared" ca="1" si="29"/>
        <v>-12.491738112734579</v>
      </c>
      <c r="K1227" s="84">
        <f t="shared" ca="1" si="22"/>
        <v>-11.050860263829124</v>
      </c>
      <c r="L1227" s="84">
        <f t="shared" ca="1" si="23"/>
        <v>-4.9699650479544646</v>
      </c>
      <c r="M1227" s="84">
        <f t="shared" ca="1" si="24"/>
        <v>-8.0104126558917983</v>
      </c>
      <c r="N1227" s="84">
        <f t="shared" ca="1" si="25"/>
        <v>-10.159964161413052</v>
      </c>
      <c r="O1227" s="84">
        <f t="shared" si="26"/>
        <v>-5.8608611503705372</v>
      </c>
      <c r="P1227" s="84">
        <f t="shared" ca="1" si="28"/>
        <v>-7.3590849048426614</v>
      </c>
      <c r="Q1227" s="84">
        <f t="shared" si="27"/>
        <v>-6.4804217089917202</v>
      </c>
    </row>
    <row r="1228" spans="10:17" x14ac:dyDescent="0.25">
      <c r="J1228" s="84">
        <f t="shared" ca="1" si="29"/>
        <v>-12.491738112734579</v>
      </c>
      <c r="K1228" s="84">
        <f t="shared" ca="1" si="22"/>
        <v>-11.050860263829124</v>
      </c>
      <c r="L1228" s="84">
        <f t="shared" ca="1" si="23"/>
        <v>-4.9699650479544646</v>
      </c>
      <c r="M1228" s="84">
        <f t="shared" ca="1" si="24"/>
        <v>-8.0104126558917983</v>
      </c>
      <c r="N1228" s="84">
        <f t="shared" ca="1" si="25"/>
        <v>-10.159964161413052</v>
      </c>
      <c r="O1228" s="84">
        <f t="shared" si="26"/>
        <v>-5.8608611503705372</v>
      </c>
      <c r="P1228" s="84">
        <f t="shared" ca="1" si="28"/>
        <v>-7.3590849048426614</v>
      </c>
      <c r="Q1228" s="84">
        <f t="shared" si="27"/>
        <v>-6.4804217089917202</v>
      </c>
    </row>
    <row r="1229" spans="10:17" x14ac:dyDescent="0.25">
      <c r="J1229" s="84">
        <f t="shared" ca="1" si="29"/>
        <v>-12.491738112734579</v>
      </c>
      <c r="K1229" s="84">
        <f t="shared" ca="1" si="22"/>
        <v>-11.050860263829124</v>
      </c>
      <c r="L1229" s="84">
        <f t="shared" ca="1" si="23"/>
        <v>-4.9699650479544646</v>
      </c>
      <c r="M1229" s="84">
        <f t="shared" ca="1" si="24"/>
        <v>-8.0104126558917983</v>
      </c>
      <c r="N1229" s="84">
        <f t="shared" ca="1" si="25"/>
        <v>-10.159964161413052</v>
      </c>
      <c r="O1229" s="84">
        <f t="shared" si="26"/>
        <v>-5.8608611503705372</v>
      </c>
      <c r="P1229" s="84">
        <f t="shared" ca="1" si="28"/>
        <v>-7.3590849048426614</v>
      </c>
      <c r="Q1229" s="84">
        <f t="shared" si="27"/>
        <v>-6.4804217089917202</v>
      </c>
    </row>
    <row r="1230" spans="10:17" x14ac:dyDescent="0.25">
      <c r="J1230" s="84">
        <f t="shared" ca="1" si="29"/>
        <v>-12.491738112734579</v>
      </c>
      <c r="K1230" s="84">
        <f t="shared" ca="1" si="22"/>
        <v>-11.050860263829124</v>
      </c>
      <c r="L1230" s="84">
        <f t="shared" ca="1" si="23"/>
        <v>-4.9699650479544646</v>
      </c>
      <c r="M1230" s="84">
        <f t="shared" ca="1" si="24"/>
        <v>-8.0104126558917983</v>
      </c>
      <c r="N1230" s="84">
        <f t="shared" ca="1" si="25"/>
        <v>-10.159964161413052</v>
      </c>
      <c r="O1230" s="84">
        <f t="shared" si="26"/>
        <v>-5.8608611503705372</v>
      </c>
      <c r="P1230" s="84">
        <f t="shared" ca="1" si="28"/>
        <v>-7.3590849048426614</v>
      </c>
      <c r="Q1230" s="84">
        <f t="shared" si="27"/>
        <v>-6.4804217089917202</v>
      </c>
    </row>
    <row r="1231" spans="10:17" x14ac:dyDescent="0.25">
      <c r="J1231" s="84">
        <f t="shared" ca="1" si="29"/>
        <v>-12.491738112734579</v>
      </c>
      <c r="K1231" s="84">
        <f t="shared" ca="1" si="22"/>
        <v>-11.050860263829124</v>
      </c>
      <c r="L1231" s="84">
        <f t="shared" ca="1" si="23"/>
        <v>-4.9699650479544646</v>
      </c>
      <c r="M1231" s="84">
        <f t="shared" ca="1" si="24"/>
        <v>-8.0104126558917983</v>
      </c>
      <c r="N1231" s="84">
        <f t="shared" ca="1" si="25"/>
        <v>-10.159964161413052</v>
      </c>
      <c r="O1231" s="84">
        <f t="shared" si="26"/>
        <v>-5.8608611503705372</v>
      </c>
      <c r="P1231" s="84">
        <f t="shared" ca="1" si="28"/>
        <v>-7.3590849048426614</v>
      </c>
      <c r="Q1231" s="84">
        <f t="shared" si="27"/>
        <v>-6.4804217089917202</v>
      </c>
    </row>
    <row r="1232" spans="10:17" x14ac:dyDescent="0.25">
      <c r="J1232" s="84">
        <f t="shared" ca="1" si="29"/>
        <v>-12.491738112734579</v>
      </c>
      <c r="K1232" s="84">
        <f t="shared" ca="1" si="22"/>
        <v>-11.050860263829124</v>
      </c>
      <c r="L1232" s="84">
        <f t="shared" ca="1" si="23"/>
        <v>-4.9699650479544646</v>
      </c>
      <c r="M1232" s="84">
        <f t="shared" ca="1" si="24"/>
        <v>-8.0104126558917983</v>
      </c>
      <c r="N1232" s="84">
        <f t="shared" ca="1" si="25"/>
        <v>-10.159964161413052</v>
      </c>
      <c r="O1232" s="84">
        <f t="shared" si="26"/>
        <v>-5.8608611503705372</v>
      </c>
      <c r="P1232" s="84">
        <f t="shared" ca="1" si="28"/>
        <v>-7.3590849048426614</v>
      </c>
      <c r="Q1232" s="84">
        <f t="shared" si="27"/>
        <v>-6.4804217089917202</v>
      </c>
    </row>
    <row r="1233" spans="10:17" x14ac:dyDescent="0.25">
      <c r="J1233" s="84">
        <f t="shared" ca="1" si="29"/>
        <v>-12.491738112734579</v>
      </c>
      <c r="K1233" s="84">
        <f t="shared" ca="1" si="22"/>
        <v>-11.050860263829124</v>
      </c>
      <c r="L1233" s="84">
        <f t="shared" ca="1" si="23"/>
        <v>-4.9699650479544646</v>
      </c>
      <c r="M1233" s="84">
        <f t="shared" ca="1" si="24"/>
        <v>-8.0104126558917983</v>
      </c>
      <c r="N1233" s="84">
        <f t="shared" ca="1" si="25"/>
        <v>-10.159964161413052</v>
      </c>
      <c r="O1233" s="84">
        <f t="shared" si="26"/>
        <v>-5.8608611503705372</v>
      </c>
      <c r="P1233" s="84">
        <f t="shared" ca="1" si="28"/>
        <v>-7.3590849048426614</v>
      </c>
      <c r="Q1233" s="84">
        <f t="shared" si="27"/>
        <v>-6.4804217089917202</v>
      </c>
    </row>
    <row r="1234" spans="10:17" x14ac:dyDescent="0.25">
      <c r="J1234" s="84">
        <f t="shared" ca="1" si="29"/>
        <v>-12.491738112734579</v>
      </c>
      <c r="K1234" s="84">
        <f t="shared" ca="1" si="22"/>
        <v>-11.050860263829124</v>
      </c>
      <c r="L1234" s="84">
        <f t="shared" ca="1" si="23"/>
        <v>-4.9699650479544646</v>
      </c>
      <c r="M1234" s="84">
        <f t="shared" ca="1" si="24"/>
        <v>-8.0104126558917983</v>
      </c>
      <c r="N1234" s="84">
        <f t="shared" ca="1" si="25"/>
        <v>-10.159964161413052</v>
      </c>
      <c r="O1234" s="84">
        <f t="shared" si="26"/>
        <v>-5.8608611503705372</v>
      </c>
      <c r="P1234" s="84">
        <f t="shared" ca="1" si="28"/>
        <v>-7.3590849048426614</v>
      </c>
      <c r="Q1234" s="84">
        <f t="shared" si="27"/>
        <v>-6.4804217089917202</v>
      </c>
    </row>
    <row r="1235" spans="10:17" x14ac:dyDescent="0.25">
      <c r="J1235" s="84">
        <f t="shared" ca="1" si="29"/>
        <v>-12.491738112734579</v>
      </c>
      <c r="K1235" s="84">
        <f t="shared" ca="1" si="22"/>
        <v>-11.050860263829124</v>
      </c>
      <c r="L1235" s="84">
        <f t="shared" ca="1" si="23"/>
        <v>-4.9699650479544646</v>
      </c>
      <c r="M1235" s="84">
        <f t="shared" ca="1" si="24"/>
        <v>-8.0104126558917983</v>
      </c>
      <c r="N1235" s="84">
        <f t="shared" ca="1" si="25"/>
        <v>-10.159964161413052</v>
      </c>
      <c r="O1235" s="84">
        <f t="shared" si="26"/>
        <v>-5.8608611503705372</v>
      </c>
      <c r="P1235" s="84">
        <f t="shared" ca="1" si="28"/>
        <v>-7.3590849048426614</v>
      </c>
      <c r="Q1235" s="84">
        <f t="shared" si="27"/>
        <v>-6.4804217089917202</v>
      </c>
    </row>
    <row r="1236" spans="10:17" x14ac:dyDescent="0.25">
      <c r="J1236" s="84">
        <f t="shared" ca="1" si="29"/>
        <v>-12.491738112734579</v>
      </c>
      <c r="K1236" s="84">
        <f t="shared" ca="1" si="22"/>
        <v>-11.050860263829124</v>
      </c>
      <c r="L1236" s="84">
        <f t="shared" ca="1" si="23"/>
        <v>-4.9699650479544646</v>
      </c>
      <c r="M1236" s="84">
        <f t="shared" ca="1" si="24"/>
        <v>-8.0104126558917983</v>
      </c>
      <c r="N1236" s="84">
        <f t="shared" ca="1" si="25"/>
        <v>-10.159964161413052</v>
      </c>
      <c r="O1236" s="84">
        <f t="shared" si="26"/>
        <v>-5.8608611503705372</v>
      </c>
      <c r="P1236" s="84">
        <f t="shared" ca="1" si="28"/>
        <v>-7.3590849048426614</v>
      </c>
      <c r="Q1236" s="84">
        <f t="shared" si="27"/>
        <v>-6.4804217089917202</v>
      </c>
    </row>
    <row r="1237" spans="10:17" x14ac:dyDescent="0.25">
      <c r="J1237" s="84">
        <f t="shared" ca="1" si="29"/>
        <v>-12.491738112734579</v>
      </c>
      <c r="K1237" s="84">
        <f t="shared" ca="1" si="22"/>
        <v>-11.050860263829124</v>
      </c>
      <c r="L1237" s="84">
        <f t="shared" ca="1" si="23"/>
        <v>-4.9699650479544646</v>
      </c>
      <c r="M1237" s="84">
        <f t="shared" ca="1" si="24"/>
        <v>-8.0104126558917983</v>
      </c>
      <c r="N1237" s="84">
        <f t="shared" ca="1" si="25"/>
        <v>-10.159964161413052</v>
      </c>
      <c r="O1237" s="84">
        <f t="shared" si="26"/>
        <v>-5.8608611503705372</v>
      </c>
      <c r="P1237" s="84">
        <f t="shared" ca="1" si="28"/>
        <v>-7.3590849048426614</v>
      </c>
      <c r="Q1237" s="84">
        <f t="shared" si="27"/>
        <v>-6.4804217089917202</v>
      </c>
    </row>
    <row r="1238" spans="10:17" x14ac:dyDescent="0.25">
      <c r="J1238" s="84">
        <f t="shared" ca="1" si="29"/>
        <v>-12.491738112734579</v>
      </c>
      <c r="K1238" s="84">
        <f t="shared" ca="1" si="22"/>
        <v>-11.050860263829124</v>
      </c>
      <c r="L1238" s="84">
        <f t="shared" ca="1" si="23"/>
        <v>-4.9699650479544646</v>
      </c>
      <c r="M1238" s="84">
        <f t="shared" ca="1" si="24"/>
        <v>-8.0104126558917983</v>
      </c>
      <c r="N1238" s="84">
        <f t="shared" ca="1" si="25"/>
        <v>-10.159964161413052</v>
      </c>
      <c r="O1238" s="84">
        <f t="shared" si="26"/>
        <v>-5.8608611503705372</v>
      </c>
      <c r="P1238" s="84">
        <f t="shared" ca="1" si="28"/>
        <v>-7.3590849048426614</v>
      </c>
      <c r="Q1238" s="84">
        <f t="shared" si="27"/>
        <v>-6.4804217089917202</v>
      </c>
    </row>
    <row r="1239" spans="10:17" x14ac:dyDescent="0.25">
      <c r="J1239" s="84">
        <f t="shared" ca="1" si="29"/>
        <v>-12.491738112734579</v>
      </c>
      <c r="K1239" s="84">
        <f t="shared" ca="1" si="22"/>
        <v>-11.050860263829124</v>
      </c>
      <c r="L1239" s="84">
        <f t="shared" ca="1" si="23"/>
        <v>-4.9699650479544646</v>
      </c>
      <c r="M1239" s="84">
        <f t="shared" ca="1" si="24"/>
        <v>-8.0104126558917983</v>
      </c>
      <c r="N1239" s="84">
        <f t="shared" ca="1" si="25"/>
        <v>-10.159964161413052</v>
      </c>
      <c r="O1239" s="84">
        <f t="shared" si="26"/>
        <v>-5.8608611503705372</v>
      </c>
      <c r="P1239" s="84">
        <f t="shared" ca="1" si="28"/>
        <v>-7.3590849048426614</v>
      </c>
      <c r="Q1239" s="84">
        <f t="shared" si="27"/>
        <v>-6.4804217089917202</v>
      </c>
    </row>
    <row r="1240" spans="10:17" x14ac:dyDescent="0.25">
      <c r="J1240" s="84">
        <f t="shared" ca="1" si="29"/>
        <v>-12.491738112734579</v>
      </c>
      <c r="K1240" s="84">
        <f t="shared" ca="1" si="22"/>
        <v>-11.050860263829124</v>
      </c>
      <c r="L1240" s="84">
        <f t="shared" ca="1" si="23"/>
        <v>-4.9699650479544646</v>
      </c>
      <c r="M1240" s="84">
        <f t="shared" ca="1" si="24"/>
        <v>-8.0104126558917983</v>
      </c>
      <c r="N1240" s="84">
        <f t="shared" ca="1" si="25"/>
        <v>-10.159964161413052</v>
      </c>
      <c r="O1240" s="84">
        <f t="shared" si="26"/>
        <v>-5.8608611503705372</v>
      </c>
      <c r="P1240" s="84">
        <f t="shared" ca="1" si="28"/>
        <v>-7.3590849048426614</v>
      </c>
      <c r="Q1240" s="84">
        <f t="shared" si="27"/>
        <v>-6.4804217089917202</v>
      </c>
    </row>
    <row r="1241" spans="10:17" x14ac:dyDescent="0.25">
      <c r="J1241" s="84">
        <f t="shared" ca="1" si="29"/>
        <v>-12.491738112734579</v>
      </c>
      <c r="K1241" s="84">
        <f t="shared" ca="1" si="22"/>
        <v>-11.050860263829124</v>
      </c>
      <c r="L1241" s="84">
        <f t="shared" ca="1" si="23"/>
        <v>-4.9699650479544646</v>
      </c>
      <c r="M1241" s="84">
        <f t="shared" ca="1" si="24"/>
        <v>-8.0104126558917983</v>
      </c>
      <c r="N1241" s="84">
        <f t="shared" ca="1" si="25"/>
        <v>-10.159964161413052</v>
      </c>
      <c r="O1241" s="84">
        <f t="shared" si="26"/>
        <v>-5.8608611503705372</v>
      </c>
      <c r="P1241" s="84">
        <f t="shared" ca="1" si="28"/>
        <v>-7.3590849048426614</v>
      </c>
      <c r="Q1241" s="84">
        <f t="shared" si="27"/>
        <v>-6.4804217089917202</v>
      </c>
    </row>
    <row r="1242" spans="10:17" x14ac:dyDescent="0.25">
      <c r="J1242" s="84">
        <f t="shared" ca="1" si="29"/>
        <v>-12.491738112734579</v>
      </c>
      <c r="K1242" s="84">
        <f t="shared" ca="1" si="22"/>
        <v>-11.050860263829124</v>
      </c>
      <c r="L1242" s="84">
        <f t="shared" ca="1" si="23"/>
        <v>-4.9699650479544646</v>
      </c>
      <c r="M1242" s="84">
        <f t="shared" ca="1" si="24"/>
        <v>-8.0104126558917983</v>
      </c>
      <c r="N1242" s="84">
        <f t="shared" ca="1" si="25"/>
        <v>-10.159964161413052</v>
      </c>
      <c r="O1242" s="84">
        <f t="shared" si="26"/>
        <v>-5.8608611503705372</v>
      </c>
      <c r="P1242" s="84">
        <f t="shared" ca="1" si="28"/>
        <v>-7.3590849048426614</v>
      </c>
      <c r="Q1242" s="84">
        <f t="shared" si="27"/>
        <v>-6.4804217089917202</v>
      </c>
    </row>
    <row r="1243" spans="10:17" x14ac:dyDescent="0.25">
      <c r="J1243" s="84">
        <f t="shared" ca="1" si="29"/>
        <v>-12.491738112734579</v>
      </c>
      <c r="K1243" s="84">
        <f t="shared" ca="1" si="22"/>
        <v>-11.050860263829124</v>
      </c>
      <c r="L1243" s="84">
        <f t="shared" ca="1" si="23"/>
        <v>-4.9699650479544646</v>
      </c>
      <c r="M1243" s="84">
        <f t="shared" ca="1" si="24"/>
        <v>-8.0104126558917983</v>
      </c>
      <c r="N1243" s="84">
        <f t="shared" ca="1" si="25"/>
        <v>-10.159964161413052</v>
      </c>
      <c r="O1243" s="84">
        <f t="shared" si="26"/>
        <v>-5.8608611503705372</v>
      </c>
      <c r="P1243" s="84">
        <f t="shared" ca="1" si="28"/>
        <v>-7.3590849048426614</v>
      </c>
      <c r="Q1243" s="84">
        <f t="shared" si="27"/>
        <v>-6.4804217089917202</v>
      </c>
    </row>
    <row r="1244" spans="10:17" x14ac:dyDescent="0.25">
      <c r="J1244" s="84">
        <f t="shared" ca="1" si="29"/>
        <v>-12.491738112734579</v>
      </c>
      <c r="K1244" s="84">
        <f t="shared" ca="1" si="22"/>
        <v>-11.050860263829124</v>
      </c>
      <c r="L1244" s="84">
        <f t="shared" ca="1" si="23"/>
        <v>-4.9699650479544646</v>
      </c>
      <c r="M1244" s="84">
        <f t="shared" ca="1" si="24"/>
        <v>-8.0104126558917983</v>
      </c>
      <c r="N1244" s="84">
        <f t="shared" ca="1" si="25"/>
        <v>-10.159964161413052</v>
      </c>
      <c r="O1244" s="84">
        <f t="shared" si="26"/>
        <v>-5.8608611503705372</v>
      </c>
      <c r="P1244" s="84">
        <f t="shared" ca="1" si="28"/>
        <v>-7.3590849048426614</v>
      </c>
      <c r="Q1244" s="84">
        <f t="shared" si="27"/>
        <v>-6.4804217089917202</v>
      </c>
    </row>
    <row r="1245" spans="10:17" x14ac:dyDescent="0.25">
      <c r="J1245" s="84">
        <f t="shared" ca="1" si="29"/>
        <v>-12.491738112734579</v>
      </c>
      <c r="K1245" s="84">
        <f t="shared" ca="1" si="22"/>
        <v>-11.050860263829124</v>
      </c>
      <c r="L1245" s="84">
        <f t="shared" ca="1" si="23"/>
        <v>-4.9699650479544646</v>
      </c>
      <c r="M1245" s="84">
        <f t="shared" ca="1" si="24"/>
        <v>-8.0104126558917983</v>
      </c>
      <c r="N1245" s="84">
        <f t="shared" ca="1" si="25"/>
        <v>-10.159964161413052</v>
      </c>
      <c r="O1245" s="84">
        <f t="shared" si="26"/>
        <v>-5.8608611503705372</v>
      </c>
      <c r="P1245" s="84">
        <f t="shared" ca="1" si="28"/>
        <v>-7.3590849048426614</v>
      </c>
      <c r="Q1245" s="84">
        <f t="shared" si="27"/>
        <v>-6.4804217089917202</v>
      </c>
    </row>
    <row r="1246" spans="10:17" x14ac:dyDescent="0.25">
      <c r="J1246" s="84">
        <f t="shared" ca="1" si="29"/>
        <v>-12.491738112734579</v>
      </c>
      <c r="K1246" s="84">
        <f t="shared" ca="1" si="22"/>
        <v>-11.050860263829124</v>
      </c>
      <c r="L1246" s="84">
        <f t="shared" ca="1" si="23"/>
        <v>-4.9699650479544646</v>
      </c>
      <c r="M1246" s="84">
        <f t="shared" ca="1" si="24"/>
        <v>-8.0104126558917983</v>
      </c>
      <c r="N1246" s="84">
        <f t="shared" ca="1" si="25"/>
        <v>-10.159964161413052</v>
      </c>
      <c r="O1246" s="84">
        <f t="shared" si="26"/>
        <v>-5.8608611503705372</v>
      </c>
      <c r="P1246" s="84">
        <f t="shared" ca="1" si="28"/>
        <v>-7.3590849048426614</v>
      </c>
      <c r="Q1246" s="84">
        <f t="shared" si="27"/>
        <v>-6.4804217089917202</v>
      </c>
    </row>
    <row r="1247" spans="10:17" x14ac:dyDescent="0.25">
      <c r="J1247" s="84">
        <f t="shared" ca="1" si="29"/>
        <v>-12.491738112734579</v>
      </c>
      <c r="K1247" s="84">
        <f t="shared" ca="1" si="22"/>
        <v>-11.050860263829124</v>
      </c>
      <c r="L1247" s="84">
        <f t="shared" ca="1" si="23"/>
        <v>-4.9699650479544646</v>
      </c>
      <c r="M1247" s="84">
        <f t="shared" ca="1" si="24"/>
        <v>-8.0104126558917983</v>
      </c>
      <c r="N1247" s="84">
        <f t="shared" ca="1" si="25"/>
        <v>-10.159964161413052</v>
      </c>
      <c r="O1247" s="84">
        <f t="shared" si="26"/>
        <v>-5.8608611503705372</v>
      </c>
      <c r="P1247" s="84">
        <f t="shared" ca="1" si="28"/>
        <v>-7.3590849048426614</v>
      </c>
      <c r="Q1247" s="84">
        <f t="shared" si="27"/>
        <v>-6.4804217089917202</v>
      </c>
    </row>
    <row r="1248" spans="10:17" x14ac:dyDescent="0.25">
      <c r="J1248" s="84">
        <f t="shared" ca="1" si="29"/>
        <v>-12.491738112734579</v>
      </c>
      <c r="K1248" s="84">
        <f t="shared" ca="1" si="22"/>
        <v>-11.050860263829124</v>
      </c>
      <c r="L1248" s="84">
        <f t="shared" ca="1" si="23"/>
        <v>-4.9699650479544646</v>
      </c>
      <c r="M1248" s="84">
        <f t="shared" ca="1" si="24"/>
        <v>-8.0104126558917983</v>
      </c>
      <c r="N1248" s="84">
        <f t="shared" ca="1" si="25"/>
        <v>-10.159964161413052</v>
      </c>
      <c r="O1248" s="84">
        <f t="shared" si="26"/>
        <v>-5.8608611503705372</v>
      </c>
      <c r="P1248" s="84">
        <f t="shared" ca="1" si="28"/>
        <v>-7.3590849048426614</v>
      </c>
      <c r="Q1248" s="84">
        <f t="shared" si="27"/>
        <v>-6.4804217089917202</v>
      </c>
    </row>
    <row r="1249" spans="10:17" x14ac:dyDescent="0.25">
      <c r="J1249" s="84">
        <f t="shared" ca="1" si="29"/>
        <v>-12.491738112734579</v>
      </c>
      <c r="K1249" s="84">
        <f t="shared" ca="1" si="22"/>
        <v>-11.050860263829124</v>
      </c>
      <c r="L1249" s="84">
        <f t="shared" ca="1" si="23"/>
        <v>-4.9699650479544646</v>
      </c>
      <c r="M1249" s="84">
        <f t="shared" ca="1" si="24"/>
        <v>-8.0104126558917983</v>
      </c>
      <c r="N1249" s="84">
        <f t="shared" ca="1" si="25"/>
        <v>-10.159964161413052</v>
      </c>
      <c r="O1249" s="84">
        <f t="shared" si="26"/>
        <v>-5.8608611503705372</v>
      </c>
      <c r="P1249" s="84">
        <f t="shared" ca="1" si="28"/>
        <v>-7.3590849048426614</v>
      </c>
      <c r="Q1249" s="84">
        <f t="shared" si="27"/>
        <v>-6.4804217089917202</v>
      </c>
    </row>
    <row r="1250" spans="10:17" x14ac:dyDescent="0.25">
      <c r="J1250" s="84">
        <f t="shared" ca="1" si="29"/>
        <v>-12.491738112734579</v>
      </c>
      <c r="K1250" s="84">
        <f t="shared" ca="1" si="22"/>
        <v>-11.050860263829124</v>
      </c>
      <c r="L1250" s="84">
        <f t="shared" ca="1" si="23"/>
        <v>-4.9699650479544646</v>
      </c>
      <c r="M1250" s="84">
        <f t="shared" ca="1" si="24"/>
        <v>-8.0104126558917983</v>
      </c>
      <c r="N1250" s="84">
        <f t="shared" ca="1" si="25"/>
        <v>-10.159964161413052</v>
      </c>
      <c r="O1250" s="84">
        <f t="shared" si="26"/>
        <v>-5.8608611503705372</v>
      </c>
      <c r="P1250" s="84">
        <f t="shared" ca="1" si="28"/>
        <v>-7.3590849048426614</v>
      </c>
      <c r="Q1250" s="84">
        <f t="shared" si="27"/>
        <v>-6.4804217089917202</v>
      </c>
    </row>
    <row r="1251" spans="10:17" x14ac:dyDescent="0.25">
      <c r="J1251" s="84">
        <f t="shared" ca="1" si="29"/>
        <v>-12.491738112734579</v>
      </c>
      <c r="K1251" s="84">
        <f t="shared" ca="1" si="22"/>
        <v>-11.050860263829124</v>
      </c>
      <c r="L1251" s="84">
        <f t="shared" ca="1" si="23"/>
        <v>-4.9699650479544646</v>
      </c>
      <c r="M1251" s="84">
        <f t="shared" ca="1" si="24"/>
        <v>-8.0104126558917983</v>
      </c>
      <c r="N1251" s="84">
        <f t="shared" ca="1" si="25"/>
        <v>-10.159964161413052</v>
      </c>
      <c r="O1251" s="84">
        <f t="shared" si="26"/>
        <v>-5.8608611503705372</v>
      </c>
      <c r="P1251" s="84">
        <f t="shared" ca="1" si="28"/>
        <v>-7.3590849048426614</v>
      </c>
      <c r="Q1251" s="84">
        <f t="shared" si="27"/>
        <v>-6.4804217089917202</v>
      </c>
    </row>
    <row r="1252" spans="10:17" x14ac:dyDescent="0.25">
      <c r="J1252" s="84">
        <f t="shared" ca="1" si="29"/>
        <v>-12.491738112734579</v>
      </c>
      <c r="K1252" s="84">
        <f t="shared" ca="1" si="22"/>
        <v>-11.050860263829124</v>
      </c>
      <c r="L1252" s="84">
        <f t="shared" ca="1" si="23"/>
        <v>-4.9699650479544646</v>
      </c>
      <c r="M1252" s="84">
        <f t="shared" ca="1" si="24"/>
        <v>-8.0104126558917983</v>
      </c>
      <c r="N1252" s="84">
        <f t="shared" ca="1" si="25"/>
        <v>-10.159964161413052</v>
      </c>
      <c r="O1252" s="84">
        <f t="shared" si="26"/>
        <v>-5.8608611503705372</v>
      </c>
      <c r="P1252" s="84">
        <f t="shared" ca="1" si="28"/>
        <v>-7.3590849048426614</v>
      </c>
      <c r="Q1252" s="84">
        <f t="shared" si="27"/>
        <v>-6.4804217089917202</v>
      </c>
    </row>
    <row r="1253" spans="10:17" x14ac:dyDescent="0.25">
      <c r="J1253" s="84">
        <f t="shared" ca="1" si="29"/>
        <v>-12.491738112734579</v>
      </c>
      <c r="K1253" s="84">
        <f t="shared" ca="1" si="22"/>
        <v>-11.050860263829124</v>
      </c>
      <c r="L1253" s="84">
        <f t="shared" ca="1" si="23"/>
        <v>-4.9699650479544646</v>
      </c>
      <c r="M1253" s="84">
        <f t="shared" ca="1" si="24"/>
        <v>-8.0104126558917983</v>
      </c>
      <c r="N1253" s="84">
        <f t="shared" ca="1" si="25"/>
        <v>-10.159964161413052</v>
      </c>
      <c r="O1253" s="84">
        <f t="shared" si="26"/>
        <v>-5.8608611503705372</v>
      </c>
      <c r="P1253" s="84">
        <f t="shared" ca="1" si="28"/>
        <v>-7.3590849048426614</v>
      </c>
      <c r="Q1253" s="84">
        <f t="shared" si="27"/>
        <v>-6.4804217089917202</v>
      </c>
    </row>
    <row r="1254" spans="10:17" x14ac:dyDescent="0.25">
      <c r="J1254" s="84">
        <f t="shared" ca="1" si="29"/>
        <v>-12.491738112734579</v>
      </c>
      <c r="K1254" s="84">
        <f t="shared" ca="1" si="22"/>
        <v>-11.050860263829124</v>
      </c>
      <c r="L1254" s="84">
        <f t="shared" ca="1" si="23"/>
        <v>-4.9699650479544646</v>
      </c>
      <c r="M1254" s="84">
        <f t="shared" ca="1" si="24"/>
        <v>-8.0104126558917983</v>
      </c>
      <c r="N1254" s="84">
        <f t="shared" ca="1" si="25"/>
        <v>-10.159964161413052</v>
      </c>
      <c r="O1254" s="84">
        <f t="shared" si="26"/>
        <v>-5.8608611503705372</v>
      </c>
      <c r="P1254" s="84">
        <f t="shared" ca="1" si="28"/>
        <v>-7.3590849048426614</v>
      </c>
      <c r="Q1254" s="84">
        <f t="shared" si="27"/>
        <v>-6.4804217089917202</v>
      </c>
    </row>
    <row r="1255" spans="10:17" x14ac:dyDescent="0.25">
      <c r="J1255" s="84">
        <f t="shared" ca="1" si="29"/>
        <v>-12.491738112734579</v>
      </c>
      <c r="K1255" s="84">
        <f t="shared" ca="1" si="22"/>
        <v>-11.050860263829124</v>
      </c>
      <c r="L1255" s="84">
        <f t="shared" ca="1" si="23"/>
        <v>-4.9699650479544646</v>
      </c>
      <c r="M1255" s="84">
        <f t="shared" ca="1" si="24"/>
        <v>-8.0104126558917983</v>
      </c>
      <c r="N1255" s="84">
        <f t="shared" ca="1" si="25"/>
        <v>-10.159964161413052</v>
      </c>
      <c r="O1255" s="84">
        <f t="shared" si="26"/>
        <v>-5.8608611503705372</v>
      </c>
      <c r="P1255" s="84">
        <f t="shared" ca="1" si="28"/>
        <v>-7.3590849048426614</v>
      </c>
      <c r="Q1255" s="84">
        <f t="shared" si="27"/>
        <v>-6.4804217089917202</v>
      </c>
    </row>
    <row r="1256" spans="10:17" x14ac:dyDescent="0.25">
      <c r="J1256" s="84">
        <f t="shared" ca="1" si="29"/>
        <v>-12.491738112734579</v>
      </c>
      <c r="K1256" s="84">
        <f t="shared" ca="1" si="22"/>
        <v>-11.050860263829124</v>
      </c>
      <c r="L1256" s="84">
        <f t="shared" ca="1" si="23"/>
        <v>-4.9699650479544646</v>
      </c>
      <c r="M1256" s="84">
        <f t="shared" ca="1" si="24"/>
        <v>-8.0104126558917983</v>
      </c>
      <c r="N1256" s="84">
        <f t="shared" ca="1" si="25"/>
        <v>-10.159964161413052</v>
      </c>
      <c r="O1256" s="84">
        <f t="shared" si="26"/>
        <v>-5.8608611503705372</v>
      </c>
      <c r="P1256" s="84">
        <f t="shared" ca="1" si="28"/>
        <v>-7.3590849048426614</v>
      </c>
      <c r="Q1256" s="84">
        <f t="shared" si="27"/>
        <v>-6.4804217089917202</v>
      </c>
    </row>
    <row r="1257" spans="10:17" x14ac:dyDescent="0.25">
      <c r="J1257" s="84">
        <f t="shared" ca="1" si="29"/>
        <v>-12.491738112734579</v>
      </c>
      <c r="K1257" s="84">
        <f t="shared" ca="1" si="22"/>
        <v>-11.050860263829124</v>
      </c>
      <c r="L1257" s="84">
        <f t="shared" ca="1" si="23"/>
        <v>-4.9699650479544646</v>
      </c>
      <c r="M1257" s="84">
        <f t="shared" ca="1" si="24"/>
        <v>-8.0104126558917983</v>
      </c>
      <c r="N1257" s="84">
        <f t="shared" ca="1" si="25"/>
        <v>-10.159964161413052</v>
      </c>
      <c r="O1257" s="84">
        <f t="shared" si="26"/>
        <v>-5.8608611503705372</v>
      </c>
      <c r="P1257" s="84">
        <f t="shared" ca="1" si="28"/>
        <v>-7.3590849048426614</v>
      </c>
      <c r="Q1257" s="84">
        <f t="shared" si="27"/>
        <v>-6.4804217089917202</v>
      </c>
    </row>
    <row r="1258" spans="10:17" x14ac:dyDescent="0.25">
      <c r="J1258" s="84">
        <f t="shared" ca="1" si="29"/>
        <v>-12.491738112734579</v>
      </c>
      <c r="K1258" s="84">
        <f t="shared" ca="1" si="22"/>
        <v>-11.050860263829124</v>
      </c>
      <c r="L1258" s="84">
        <f t="shared" ca="1" si="23"/>
        <v>-4.9699650479544646</v>
      </c>
      <c r="M1258" s="84">
        <f t="shared" ca="1" si="24"/>
        <v>-8.0104126558917983</v>
      </c>
      <c r="N1258" s="84">
        <f t="shared" ca="1" si="25"/>
        <v>-10.159964161413052</v>
      </c>
      <c r="O1258" s="84">
        <f t="shared" si="26"/>
        <v>-5.8608611503705372</v>
      </c>
      <c r="P1258" s="84">
        <f t="shared" ca="1" si="28"/>
        <v>-7.3590849048426614</v>
      </c>
      <c r="Q1258" s="84">
        <f t="shared" si="27"/>
        <v>-6.4804217089917202</v>
      </c>
    </row>
    <row r="1259" spans="10:17" x14ac:dyDescent="0.25">
      <c r="J1259" s="84">
        <f t="shared" ca="1" si="29"/>
        <v>-12.491738112734579</v>
      </c>
      <c r="K1259" s="84">
        <f t="shared" ca="1" si="22"/>
        <v>-11.050860263829124</v>
      </c>
      <c r="L1259" s="84">
        <f t="shared" ca="1" si="23"/>
        <v>-4.9699650479544646</v>
      </c>
      <c r="M1259" s="84">
        <f t="shared" ca="1" si="24"/>
        <v>-8.0104126558917983</v>
      </c>
      <c r="N1259" s="84">
        <f t="shared" ca="1" si="25"/>
        <v>-10.159964161413052</v>
      </c>
      <c r="O1259" s="84">
        <f t="shared" si="26"/>
        <v>-5.8608611503705372</v>
      </c>
      <c r="P1259" s="84">
        <f t="shared" ca="1" si="28"/>
        <v>-7.3590849048426614</v>
      </c>
      <c r="Q1259" s="84">
        <f t="shared" si="27"/>
        <v>-6.4804217089917202</v>
      </c>
    </row>
    <row r="1260" spans="10:17" x14ac:dyDescent="0.25">
      <c r="J1260" s="84">
        <f t="shared" ca="1" si="29"/>
        <v>-12.491738112734579</v>
      </c>
      <c r="K1260" s="84">
        <f t="shared" ref="K1260:K1323" ca="1" si="30">$AF$14-B1261</f>
        <v>-11.050860263829124</v>
      </c>
      <c r="L1260" s="84">
        <f t="shared" ref="L1260:L1323" ca="1" si="31">-0.5*B1261-$AF$15</f>
        <v>-4.9699650479544646</v>
      </c>
      <c r="M1260" s="84">
        <f t="shared" ref="M1260:M1323" ca="1" si="32">-0.75*B1261-$AF$16</f>
        <v>-8.0104126558917983</v>
      </c>
      <c r="N1260" s="84">
        <f t="shared" ref="N1260:N1323" ca="1" si="33">-B1261-$AF$17</f>
        <v>-10.159964161413052</v>
      </c>
      <c r="O1260" s="84">
        <f t="shared" ref="O1260:O1323" si="34">(-0.25*B1261-$AF$18)/0.5</f>
        <v>-5.8608611503705372</v>
      </c>
      <c r="P1260" s="84">
        <f t="shared" ca="1" si="28"/>
        <v>-7.3590849048426614</v>
      </c>
      <c r="Q1260" s="84">
        <f t="shared" ref="Q1260:Q1323" si="35">-0.5*B1261-$AF$20</f>
        <v>-6.4804217089917202</v>
      </c>
    </row>
    <row r="1261" spans="10:17" x14ac:dyDescent="0.25">
      <c r="J1261" s="84">
        <f t="shared" ca="1" si="29"/>
        <v>-12.491738112734579</v>
      </c>
      <c r="K1261" s="84">
        <f t="shared" ca="1" si="30"/>
        <v>-11.050860263829124</v>
      </c>
      <c r="L1261" s="84">
        <f t="shared" ca="1" si="31"/>
        <v>-4.9699650479544646</v>
      </c>
      <c r="M1261" s="84">
        <f t="shared" ca="1" si="32"/>
        <v>-8.0104126558917983</v>
      </c>
      <c r="N1261" s="84">
        <f t="shared" ca="1" si="33"/>
        <v>-10.159964161413052</v>
      </c>
      <c r="O1261" s="84">
        <f t="shared" si="34"/>
        <v>-5.8608611503705372</v>
      </c>
      <c r="P1261" s="84">
        <f t="shared" ca="1" si="28"/>
        <v>-7.3590849048426614</v>
      </c>
      <c r="Q1261" s="84">
        <f t="shared" si="35"/>
        <v>-6.4804217089917202</v>
      </c>
    </row>
    <row r="1262" spans="10:17" x14ac:dyDescent="0.25">
      <c r="J1262" s="84">
        <f t="shared" ca="1" si="29"/>
        <v>-12.491738112734579</v>
      </c>
      <c r="K1262" s="84">
        <f t="shared" ca="1" si="30"/>
        <v>-11.050860263829124</v>
      </c>
      <c r="L1262" s="84">
        <f t="shared" ca="1" si="31"/>
        <v>-4.9699650479544646</v>
      </c>
      <c r="M1262" s="84">
        <f t="shared" ca="1" si="32"/>
        <v>-8.0104126558917983</v>
      </c>
      <c r="N1262" s="84">
        <f t="shared" ca="1" si="33"/>
        <v>-10.159964161413052</v>
      </c>
      <c r="O1262" s="84">
        <f t="shared" si="34"/>
        <v>-5.8608611503705372</v>
      </c>
      <c r="P1262" s="84">
        <f t="shared" ca="1" si="28"/>
        <v>-7.3590849048426614</v>
      </c>
      <c r="Q1262" s="84">
        <f t="shared" si="35"/>
        <v>-6.4804217089917202</v>
      </c>
    </row>
    <row r="1263" spans="10:17" x14ac:dyDescent="0.25">
      <c r="J1263" s="84">
        <f t="shared" ca="1" si="29"/>
        <v>-12.491738112734579</v>
      </c>
      <c r="K1263" s="84">
        <f t="shared" ca="1" si="30"/>
        <v>-11.050860263829124</v>
      </c>
      <c r="L1263" s="84">
        <f t="shared" ca="1" si="31"/>
        <v>-4.9699650479544646</v>
      </c>
      <c r="M1263" s="84">
        <f t="shared" ca="1" si="32"/>
        <v>-8.0104126558917983</v>
      </c>
      <c r="N1263" s="84">
        <f t="shared" ca="1" si="33"/>
        <v>-10.159964161413052</v>
      </c>
      <c r="O1263" s="84">
        <f t="shared" si="34"/>
        <v>-5.8608611503705372</v>
      </c>
      <c r="P1263" s="84">
        <f t="shared" ca="1" si="28"/>
        <v>-7.3590849048426614</v>
      </c>
      <c r="Q1263" s="84">
        <f t="shared" si="35"/>
        <v>-6.4804217089917202</v>
      </c>
    </row>
    <row r="1264" spans="10:17" x14ac:dyDescent="0.25">
      <c r="J1264" s="84">
        <f t="shared" ca="1" si="29"/>
        <v>-12.491738112734579</v>
      </c>
      <c r="K1264" s="84">
        <f t="shared" ca="1" si="30"/>
        <v>-11.050860263829124</v>
      </c>
      <c r="L1264" s="84">
        <f t="shared" ca="1" si="31"/>
        <v>-4.9699650479544646</v>
      </c>
      <c r="M1264" s="84">
        <f t="shared" ca="1" si="32"/>
        <v>-8.0104126558917983</v>
      </c>
      <c r="N1264" s="84">
        <f t="shared" ca="1" si="33"/>
        <v>-10.159964161413052</v>
      </c>
      <c r="O1264" s="84">
        <f t="shared" si="34"/>
        <v>-5.8608611503705372</v>
      </c>
      <c r="P1264" s="84">
        <f t="shared" ca="1" si="28"/>
        <v>-7.3590849048426614</v>
      </c>
      <c r="Q1264" s="84">
        <f t="shared" si="35"/>
        <v>-6.4804217089917202</v>
      </c>
    </row>
    <row r="1265" spans="10:17" x14ac:dyDescent="0.25">
      <c r="J1265" s="84">
        <f t="shared" ca="1" si="29"/>
        <v>-12.491738112734579</v>
      </c>
      <c r="K1265" s="84">
        <f t="shared" ca="1" si="30"/>
        <v>-11.050860263829124</v>
      </c>
      <c r="L1265" s="84">
        <f t="shared" ca="1" si="31"/>
        <v>-4.9699650479544646</v>
      </c>
      <c r="M1265" s="84">
        <f t="shared" ca="1" si="32"/>
        <v>-8.0104126558917983</v>
      </c>
      <c r="N1265" s="84">
        <f t="shared" ca="1" si="33"/>
        <v>-10.159964161413052</v>
      </c>
      <c r="O1265" s="84">
        <f t="shared" si="34"/>
        <v>-5.8608611503705372</v>
      </c>
      <c r="P1265" s="84">
        <f t="shared" ca="1" si="28"/>
        <v>-7.3590849048426614</v>
      </c>
      <c r="Q1265" s="84">
        <f t="shared" si="35"/>
        <v>-6.4804217089917202</v>
      </c>
    </row>
    <row r="1266" spans="10:17" x14ac:dyDescent="0.25">
      <c r="J1266" s="84">
        <f t="shared" ca="1" si="29"/>
        <v>-12.491738112734579</v>
      </c>
      <c r="K1266" s="84">
        <f t="shared" ca="1" si="30"/>
        <v>-11.050860263829124</v>
      </c>
      <c r="L1266" s="84">
        <f t="shared" ca="1" si="31"/>
        <v>-4.9699650479544646</v>
      </c>
      <c r="M1266" s="84">
        <f t="shared" ca="1" si="32"/>
        <v>-8.0104126558917983</v>
      </c>
      <c r="N1266" s="84">
        <f t="shared" ca="1" si="33"/>
        <v>-10.159964161413052</v>
      </c>
      <c r="O1266" s="84">
        <f t="shared" si="34"/>
        <v>-5.8608611503705372</v>
      </c>
      <c r="P1266" s="84">
        <f t="shared" ca="1" si="28"/>
        <v>-7.3590849048426614</v>
      </c>
      <c r="Q1266" s="84">
        <f t="shared" si="35"/>
        <v>-6.4804217089917202</v>
      </c>
    </row>
    <row r="1267" spans="10:17" x14ac:dyDescent="0.25">
      <c r="J1267" s="84">
        <f t="shared" ca="1" si="29"/>
        <v>-12.491738112734579</v>
      </c>
      <c r="K1267" s="84">
        <f t="shared" ca="1" si="30"/>
        <v>-11.050860263829124</v>
      </c>
      <c r="L1267" s="84">
        <f t="shared" ca="1" si="31"/>
        <v>-4.9699650479544646</v>
      </c>
      <c r="M1267" s="84">
        <f t="shared" ca="1" si="32"/>
        <v>-8.0104126558917983</v>
      </c>
      <c r="N1267" s="84">
        <f t="shared" ca="1" si="33"/>
        <v>-10.159964161413052</v>
      </c>
      <c r="O1267" s="84">
        <f t="shared" si="34"/>
        <v>-5.8608611503705372</v>
      </c>
      <c r="P1267" s="84">
        <f t="shared" ca="1" si="28"/>
        <v>-7.3590849048426614</v>
      </c>
      <c r="Q1267" s="84">
        <f t="shared" si="35"/>
        <v>-6.4804217089917202</v>
      </c>
    </row>
    <row r="1268" spans="10:17" x14ac:dyDescent="0.25">
      <c r="J1268" s="84">
        <f t="shared" ca="1" si="29"/>
        <v>-12.491738112734579</v>
      </c>
      <c r="K1268" s="84">
        <f t="shared" ca="1" si="30"/>
        <v>-11.050860263829124</v>
      </c>
      <c r="L1268" s="84">
        <f t="shared" ca="1" si="31"/>
        <v>-4.9699650479544646</v>
      </c>
      <c r="M1268" s="84">
        <f t="shared" ca="1" si="32"/>
        <v>-8.0104126558917983</v>
      </c>
      <c r="N1268" s="84">
        <f t="shared" ca="1" si="33"/>
        <v>-10.159964161413052</v>
      </c>
      <c r="O1268" s="84">
        <f t="shared" si="34"/>
        <v>-5.8608611503705372</v>
      </c>
      <c r="P1268" s="84">
        <f t="shared" ca="1" si="28"/>
        <v>-7.3590849048426614</v>
      </c>
      <c r="Q1268" s="84">
        <f t="shared" si="35"/>
        <v>-6.4804217089917202</v>
      </c>
    </row>
    <row r="1269" spans="10:17" x14ac:dyDescent="0.25">
      <c r="J1269" s="84">
        <f t="shared" ca="1" si="29"/>
        <v>-12.491738112734579</v>
      </c>
      <c r="K1269" s="84">
        <f t="shared" ca="1" si="30"/>
        <v>-11.050860263829124</v>
      </c>
      <c r="L1269" s="84">
        <f t="shared" ca="1" si="31"/>
        <v>-4.9699650479544646</v>
      </c>
      <c r="M1269" s="84">
        <f t="shared" ca="1" si="32"/>
        <v>-8.0104126558917983</v>
      </c>
      <c r="N1269" s="84">
        <f t="shared" ca="1" si="33"/>
        <v>-10.159964161413052</v>
      </c>
      <c r="O1269" s="84">
        <f t="shared" si="34"/>
        <v>-5.8608611503705372</v>
      </c>
      <c r="P1269" s="84">
        <f t="shared" ca="1" si="28"/>
        <v>-7.3590849048426614</v>
      </c>
      <c r="Q1269" s="84">
        <f t="shared" si="35"/>
        <v>-6.4804217089917202</v>
      </c>
    </row>
    <row r="1270" spans="10:17" x14ac:dyDescent="0.25">
      <c r="J1270" s="84">
        <f t="shared" ca="1" si="29"/>
        <v>-12.491738112734579</v>
      </c>
      <c r="K1270" s="84">
        <f t="shared" ca="1" si="30"/>
        <v>-11.050860263829124</v>
      </c>
      <c r="L1270" s="84">
        <f t="shared" ca="1" si="31"/>
        <v>-4.9699650479544646</v>
      </c>
      <c r="M1270" s="84">
        <f t="shared" ca="1" si="32"/>
        <v>-8.0104126558917983</v>
      </c>
      <c r="N1270" s="84">
        <f t="shared" ca="1" si="33"/>
        <v>-10.159964161413052</v>
      </c>
      <c r="O1270" s="84">
        <f t="shared" si="34"/>
        <v>-5.8608611503705372</v>
      </c>
      <c r="P1270" s="84">
        <f t="shared" ca="1" si="28"/>
        <v>-7.3590849048426614</v>
      </c>
      <c r="Q1270" s="84">
        <f t="shared" si="35"/>
        <v>-6.4804217089917202</v>
      </c>
    </row>
    <row r="1271" spans="10:17" x14ac:dyDescent="0.25">
      <c r="J1271" s="84">
        <f t="shared" ca="1" si="29"/>
        <v>-12.491738112734579</v>
      </c>
      <c r="K1271" s="84">
        <f t="shared" ca="1" si="30"/>
        <v>-11.050860263829124</v>
      </c>
      <c r="L1271" s="84">
        <f t="shared" ca="1" si="31"/>
        <v>-4.9699650479544646</v>
      </c>
      <c r="M1271" s="84">
        <f t="shared" ca="1" si="32"/>
        <v>-8.0104126558917983</v>
      </c>
      <c r="N1271" s="84">
        <f t="shared" ca="1" si="33"/>
        <v>-10.159964161413052</v>
      </c>
      <c r="O1271" s="84">
        <f t="shared" si="34"/>
        <v>-5.8608611503705372</v>
      </c>
      <c r="P1271" s="84">
        <f t="shared" ca="1" si="28"/>
        <v>-7.3590849048426614</v>
      </c>
      <c r="Q1271" s="84">
        <f t="shared" si="35"/>
        <v>-6.4804217089917202</v>
      </c>
    </row>
    <row r="1272" spans="10:17" x14ac:dyDescent="0.25">
      <c r="J1272" s="84">
        <f t="shared" ca="1" si="29"/>
        <v>-12.491738112734579</v>
      </c>
      <c r="K1272" s="84">
        <f t="shared" ca="1" si="30"/>
        <v>-11.050860263829124</v>
      </c>
      <c r="L1272" s="84">
        <f t="shared" ca="1" si="31"/>
        <v>-4.9699650479544646</v>
      </c>
      <c r="M1272" s="84">
        <f t="shared" ca="1" si="32"/>
        <v>-8.0104126558917983</v>
      </c>
      <c r="N1272" s="84">
        <f t="shared" ca="1" si="33"/>
        <v>-10.159964161413052</v>
      </c>
      <c r="O1272" s="84">
        <f t="shared" si="34"/>
        <v>-5.8608611503705372</v>
      </c>
      <c r="P1272" s="84">
        <f t="shared" ref="P1272:P1335" ca="1" si="36">$AF$19/$S$19</f>
        <v>-7.3590849048426614</v>
      </c>
      <c r="Q1272" s="84">
        <f t="shared" si="35"/>
        <v>-6.4804217089917202</v>
      </c>
    </row>
    <row r="1273" spans="10:17" x14ac:dyDescent="0.25">
      <c r="J1273" s="84">
        <f t="shared" ref="J1273:J1336" ca="1" si="37">$AF$13/$S$13</f>
        <v>-12.491738112734579</v>
      </c>
      <c r="K1273" s="84">
        <f t="shared" ca="1" si="30"/>
        <v>-11.050860263829124</v>
      </c>
      <c r="L1273" s="84">
        <f t="shared" ca="1" si="31"/>
        <v>-4.9699650479544646</v>
      </c>
      <c r="M1273" s="84">
        <f t="shared" ca="1" si="32"/>
        <v>-8.0104126558917983</v>
      </c>
      <c r="N1273" s="84">
        <f t="shared" ca="1" si="33"/>
        <v>-10.159964161413052</v>
      </c>
      <c r="O1273" s="84">
        <f t="shared" si="34"/>
        <v>-5.8608611503705372</v>
      </c>
      <c r="P1273" s="84">
        <f t="shared" ca="1" si="36"/>
        <v>-7.3590849048426614</v>
      </c>
      <c r="Q1273" s="84">
        <f t="shared" si="35"/>
        <v>-6.4804217089917202</v>
      </c>
    </row>
    <row r="1274" spans="10:17" x14ac:dyDescent="0.25">
      <c r="J1274" s="84">
        <f t="shared" ca="1" si="37"/>
        <v>-12.491738112734579</v>
      </c>
      <c r="K1274" s="84">
        <f t="shared" ca="1" si="30"/>
        <v>-11.050860263829124</v>
      </c>
      <c r="L1274" s="84">
        <f t="shared" ca="1" si="31"/>
        <v>-4.9699650479544646</v>
      </c>
      <c r="M1274" s="84">
        <f t="shared" ca="1" si="32"/>
        <v>-8.0104126558917983</v>
      </c>
      <c r="N1274" s="84">
        <f t="shared" ca="1" si="33"/>
        <v>-10.159964161413052</v>
      </c>
      <c r="O1274" s="84">
        <f t="shared" si="34"/>
        <v>-5.8608611503705372</v>
      </c>
      <c r="P1274" s="84">
        <f t="shared" ca="1" si="36"/>
        <v>-7.3590849048426614</v>
      </c>
      <c r="Q1274" s="84">
        <f t="shared" si="35"/>
        <v>-6.4804217089917202</v>
      </c>
    </row>
    <row r="1275" spans="10:17" x14ac:dyDescent="0.25">
      <c r="J1275" s="84">
        <f t="shared" ca="1" si="37"/>
        <v>-12.491738112734579</v>
      </c>
      <c r="K1275" s="84">
        <f t="shared" ca="1" si="30"/>
        <v>-11.050860263829124</v>
      </c>
      <c r="L1275" s="84">
        <f t="shared" ca="1" si="31"/>
        <v>-4.9699650479544646</v>
      </c>
      <c r="M1275" s="84">
        <f t="shared" ca="1" si="32"/>
        <v>-8.0104126558917983</v>
      </c>
      <c r="N1275" s="84">
        <f t="shared" ca="1" si="33"/>
        <v>-10.159964161413052</v>
      </c>
      <c r="O1275" s="84">
        <f t="shared" si="34"/>
        <v>-5.8608611503705372</v>
      </c>
      <c r="P1275" s="84">
        <f t="shared" ca="1" si="36"/>
        <v>-7.3590849048426614</v>
      </c>
      <c r="Q1275" s="84">
        <f t="shared" si="35"/>
        <v>-6.4804217089917202</v>
      </c>
    </row>
    <row r="1276" spans="10:17" x14ac:dyDescent="0.25">
      <c r="J1276" s="84">
        <f t="shared" ca="1" si="37"/>
        <v>-12.491738112734579</v>
      </c>
      <c r="K1276" s="84">
        <f t="shared" ca="1" si="30"/>
        <v>-11.050860263829124</v>
      </c>
      <c r="L1276" s="84">
        <f t="shared" ca="1" si="31"/>
        <v>-4.9699650479544646</v>
      </c>
      <c r="M1276" s="84">
        <f t="shared" ca="1" si="32"/>
        <v>-8.0104126558917983</v>
      </c>
      <c r="N1276" s="84">
        <f t="shared" ca="1" si="33"/>
        <v>-10.159964161413052</v>
      </c>
      <c r="O1276" s="84">
        <f t="shared" si="34"/>
        <v>-5.8608611503705372</v>
      </c>
      <c r="P1276" s="84">
        <f t="shared" ca="1" si="36"/>
        <v>-7.3590849048426614</v>
      </c>
      <c r="Q1276" s="84">
        <f t="shared" si="35"/>
        <v>-6.4804217089917202</v>
      </c>
    </row>
    <row r="1277" spans="10:17" x14ac:dyDescent="0.25">
      <c r="J1277" s="84">
        <f t="shared" ca="1" si="37"/>
        <v>-12.491738112734579</v>
      </c>
      <c r="K1277" s="84">
        <f t="shared" ca="1" si="30"/>
        <v>-11.050860263829124</v>
      </c>
      <c r="L1277" s="84">
        <f t="shared" ca="1" si="31"/>
        <v>-4.9699650479544646</v>
      </c>
      <c r="M1277" s="84">
        <f t="shared" ca="1" si="32"/>
        <v>-8.0104126558917983</v>
      </c>
      <c r="N1277" s="84">
        <f t="shared" ca="1" si="33"/>
        <v>-10.159964161413052</v>
      </c>
      <c r="O1277" s="84">
        <f t="shared" si="34"/>
        <v>-5.8608611503705372</v>
      </c>
      <c r="P1277" s="84">
        <f t="shared" ca="1" si="36"/>
        <v>-7.3590849048426614</v>
      </c>
      <c r="Q1277" s="84">
        <f t="shared" si="35"/>
        <v>-6.4804217089917202</v>
      </c>
    </row>
    <row r="1278" spans="10:17" x14ac:dyDescent="0.25">
      <c r="J1278" s="84">
        <f t="shared" ca="1" si="37"/>
        <v>-12.491738112734579</v>
      </c>
      <c r="K1278" s="84">
        <f t="shared" ca="1" si="30"/>
        <v>-11.050860263829124</v>
      </c>
      <c r="L1278" s="84">
        <f t="shared" ca="1" si="31"/>
        <v>-4.9699650479544646</v>
      </c>
      <c r="M1278" s="84">
        <f t="shared" ca="1" si="32"/>
        <v>-8.0104126558917983</v>
      </c>
      <c r="N1278" s="84">
        <f t="shared" ca="1" si="33"/>
        <v>-10.159964161413052</v>
      </c>
      <c r="O1278" s="84">
        <f t="shared" si="34"/>
        <v>-5.8608611503705372</v>
      </c>
      <c r="P1278" s="84">
        <f t="shared" ca="1" si="36"/>
        <v>-7.3590849048426614</v>
      </c>
      <c r="Q1278" s="84">
        <f t="shared" si="35"/>
        <v>-6.4804217089917202</v>
      </c>
    </row>
    <row r="1279" spans="10:17" x14ac:dyDescent="0.25">
      <c r="J1279" s="84">
        <f t="shared" ca="1" si="37"/>
        <v>-12.491738112734579</v>
      </c>
      <c r="K1279" s="84">
        <f t="shared" ca="1" si="30"/>
        <v>-11.050860263829124</v>
      </c>
      <c r="L1279" s="84">
        <f t="shared" ca="1" si="31"/>
        <v>-4.9699650479544646</v>
      </c>
      <c r="M1279" s="84">
        <f t="shared" ca="1" si="32"/>
        <v>-8.0104126558917983</v>
      </c>
      <c r="N1279" s="84">
        <f t="shared" ca="1" si="33"/>
        <v>-10.159964161413052</v>
      </c>
      <c r="O1279" s="84">
        <f t="shared" si="34"/>
        <v>-5.8608611503705372</v>
      </c>
      <c r="P1279" s="84">
        <f t="shared" ca="1" si="36"/>
        <v>-7.3590849048426614</v>
      </c>
      <c r="Q1279" s="84">
        <f t="shared" si="35"/>
        <v>-6.4804217089917202</v>
      </c>
    </row>
    <row r="1280" spans="10:17" x14ac:dyDescent="0.25">
      <c r="J1280" s="84">
        <f t="shared" ca="1" si="37"/>
        <v>-12.491738112734579</v>
      </c>
      <c r="K1280" s="84">
        <f t="shared" ca="1" si="30"/>
        <v>-11.050860263829124</v>
      </c>
      <c r="L1280" s="84">
        <f t="shared" ca="1" si="31"/>
        <v>-4.9699650479544646</v>
      </c>
      <c r="M1280" s="84">
        <f t="shared" ca="1" si="32"/>
        <v>-8.0104126558917983</v>
      </c>
      <c r="N1280" s="84">
        <f t="shared" ca="1" si="33"/>
        <v>-10.159964161413052</v>
      </c>
      <c r="O1280" s="84">
        <f t="shared" si="34"/>
        <v>-5.8608611503705372</v>
      </c>
      <c r="P1280" s="84">
        <f t="shared" ca="1" si="36"/>
        <v>-7.3590849048426614</v>
      </c>
      <c r="Q1280" s="84">
        <f t="shared" si="35"/>
        <v>-6.4804217089917202</v>
      </c>
    </row>
    <row r="1281" spans="10:17" x14ac:dyDescent="0.25">
      <c r="J1281" s="84">
        <f t="shared" ca="1" si="37"/>
        <v>-12.491738112734579</v>
      </c>
      <c r="K1281" s="84">
        <f t="shared" ca="1" si="30"/>
        <v>-11.050860263829124</v>
      </c>
      <c r="L1281" s="84">
        <f t="shared" ca="1" si="31"/>
        <v>-4.9699650479544646</v>
      </c>
      <c r="M1281" s="84">
        <f t="shared" ca="1" si="32"/>
        <v>-8.0104126558917983</v>
      </c>
      <c r="N1281" s="84">
        <f t="shared" ca="1" si="33"/>
        <v>-10.159964161413052</v>
      </c>
      <c r="O1281" s="84">
        <f t="shared" si="34"/>
        <v>-5.8608611503705372</v>
      </c>
      <c r="P1281" s="84">
        <f t="shared" ca="1" si="36"/>
        <v>-7.3590849048426614</v>
      </c>
      <c r="Q1281" s="84">
        <f t="shared" si="35"/>
        <v>-6.4804217089917202</v>
      </c>
    </row>
    <row r="1282" spans="10:17" x14ac:dyDescent="0.25">
      <c r="J1282" s="84">
        <f t="shared" ca="1" si="37"/>
        <v>-12.491738112734579</v>
      </c>
      <c r="K1282" s="84">
        <f t="shared" ca="1" si="30"/>
        <v>-11.050860263829124</v>
      </c>
      <c r="L1282" s="84">
        <f t="shared" ca="1" si="31"/>
        <v>-4.9699650479544646</v>
      </c>
      <c r="M1282" s="84">
        <f t="shared" ca="1" si="32"/>
        <v>-8.0104126558917983</v>
      </c>
      <c r="N1282" s="84">
        <f t="shared" ca="1" si="33"/>
        <v>-10.159964161413052</v>
      </c>
      <c r="O1282" s="84">
        <f t="shared" si="34"/>
        <v>-5.8608611503705372</v>
      </c>
      <c r="P1282" s="84">
        <f t="shared" ca="1" si="36"/>
        <v>-7.3590849048426614</v>
      </c>
      <c r="Q1282" s="84">
        <f t="shared" si="35"/>
        <v>-6.4804217089917202</v>
      </c>
    </row>
    <row r="1283" spans="10:17" x14ac:dyDescent="0.25">
      <c r="J1283" s="84">
        <f t="shared" ca="1" si="37"/>
        <v>-12.491738112734579</v>
      </c>
      <c r="K1283" s="84">
        <f t="shared" ca="1" si="30"/>
        <v>-11.050860263829124</v>
      </c>
      <c r="L1283" s="84">
        <f t="shared" ca="1" si="31"/>
        <v>-4.9699650479544646</v>
      </c>
      <c r="M1283" s="84">
        <f t="shared" ca="1" si="32"/>
        <v>-8.0104126558917983</v>
      </c>
      <c r="N1283" s="84">
        <f t="shared" ca="1" si="33"/>
        <v>-10.159964161413052</v>
      </c>
      <c r="O1283" s="84">
        <f t="shared" si="34"/>
        <v>-5.8608611503705372</v>
      </c>
      <c r="P1283" s="84">
        <f t="shared" ca="1" si="36"/>
        <v>-7.3590849048426614</v>
      </c>
      <c r="Q1283" s="84">
        <f t="shared" si="35"/>
        <v>-6.4804217089917202</v>
      </c>
    </row>
    <row r="1284" spans="10:17" x14ac:dyDescent="0.25">
      <c r="J1284" s="84">
        <f t="shared" ca="1" si="37"/>
        <v>-12.491738112734579</v>
      </c>
      <c r="K1284" s="84">
        <f t="shared" ca="1" si="30"/>
        <v>-11.050860263829124</v>
      </c>
      <c r="L1284" s="84">
        <f t="shared" ca="1" si="31"/>
        <v>-4.9699650479544646</v>
      </c>
      <c r="M1284" s="84">
        <f t="shared" ca="1" si="32"/>
        <v>-8.0104126558917983</v>
      </c>
      <c r="N1284" s="84">
        <f t="shared" ca="1" si="33"/>
        <v>-10.159964161413052</v>
      </c>
      <c r="O1284" s="84">
        <f t="shared" si="34"/>
        <v>-5.8608611503705372</v>
      </c>
      <c r="P1284" s="84">
        <f t="shared" ca="1" si="36"/>
        <v>-7.3590849048426614</v>
      </c>
      <c r="Q1284" s="84">
        <f t="shared" si="35"/>
        <v>-6.4804217089917202</v>
      </c>
    </row>
    <row r="1285" spans="10:17" x14ac:dyDescent="0.25">
      <c r="J1285" s="84">
        <f t="shared" ca="1" si="37"/>
        <v>-12.491738112734579</v>
      </c>
      <c r="K1285" s="84">
        <f t="shared" ca="1" si="30"/>
        <v>-11.050860263829124</v>
      </c>
      <c r="L1285" s="84">
        <f t="shared" ca="1" si="31"/>
        <v>-4.9699650479544646</v>
      </c>
      <c r="M1285" s="84">
        <f t="shared" ca="1" si="32"/>
        <v>-8.0104126558917983</v>
      </c>
      <c r="N1285" s="84">
        <f t="shared" ca="1" si="33"/>
        <v>-10.159964161413052</v>
      </c>
      <c r="O1285" s="84">
        <f t="shared" si="34"/>
        <v>-5.8608611503705372</v>
      </c>
      <c r="P1285" s="84">
        <f t="shared" ca="1" si="36"/>
        <v>-7.3590849048426614</v>
      </c>
      <c r="Q1285" s="84">
        <f t="shared" si="35"/>
        <v>-6.4804217089917202</v>
      </c>
    </row>
    <row r="1286" spans="10:17" x14ac:dyDescent="0.25">
      <c r="J1286" s="84">
        <f t="shared" ca="1" si="37"/>
        <v>-12.491738112734579</v>
      </c>
      <c r="K1286" s="84">
        <f t="shared" ca="1" si="30"/>
        <v>-11.050860263829124</v>
      </c>
      <c r="L1286" s="84">
        <f t="shared" ca="1" si="31"/>
        <v>-4.9699650479544646</v>
      </c>
      <c r="M1286" s="84">
        <f t="shared" ca="1" si="32"/>
        <v>-8.0104126558917983</v>
      </c>
      <c r="N1286" s="84">
        <f t="shared" ca="1" si="33"/>
        <v>-10.159964161413052</v>
      </c>
      <c r="O1286" s="84">
        <f t="shared" si="34"/>
        <v>-5.8608611503705372</v>
      </c>
      <c r="P1286" s="84">
        <f t="shared" ca="1" si="36"/>
        <v>-7.3590849048426614</v>
      </c>
      <c r="Q1286" s="84">
        <f t="shared" si="35"/>
        <v>-6.4804217089917202</v>
      </c>
    </row>
    <row r="1287" spans="10:17" x14ac:dyDescent="0.25">
      <c r="J1287" s="84">
        <f t="shared" ca="1" si="37"/>
        <v>-12.491738112734579</v>
      </c>
      <c r="K1287" s="84">
        <f t="shared" ca="1" si="30"/>
        <v>-11.050860263829124</v>
      </c>
      <c r="L1287" s="84">
        <f t="shared" ca="1" si="31"/>
        <v>-4.9699650479544646</v>
      </c>
      <c r="M1287" s="84">
        <f t="shared" ca="1" si="32"/>
        <v>-8.0104126558917983</v>
      </c>
      <c r="N1287" s="84">
        <f t="shared" ca="1" si="33"/>
        <v>-10.159964161413052</v>
      </c>
      <c r="O1287" s="84">
        <f t="shared" si="34"/>
        <v>-5.8608611503705372</v>
      </c>
      <c r="P1287" s="84">
        <f t="shared" ca="1" si="36"/>
        <v>-7.3590849048426614</v>
      </c>
      <c r="Q1287" s="84">
        <f t="shared" si="35"/>
        <v>-6.4804217089917202</v>
      </c>
    </row>
    <row r="1288" spans="10:17" x14ac:dyDescent="0.25">
      <c r="J1288" s="84">
        <f t="shared" ca="1" si="37"/>
        <v>-12.491738112734579</v>
      </c>
      <c r="K1288" s="84">
        <f t="shared" ca="1" si="30"/>
        <v>-11.050860263829124</v>
      </c>
      <c r="L1288" s="84">
        <f t="shared" ca="1" si="31"/>
        <v>-4.9699650479544646</v>
      </c>
      <c r="M1288" s="84">
        <f t="shared" ca="1" si="32"/>
        <v>-8.0104126558917983</v>
      </c>
      <c r="N1288" s="84">
        <f t="shared" ca="1" si="33"/>
        <v>-10.159964161413052</v>
      </c>
      <c r="O1288" s="84">
        <f t="shared" si="34"/>
        <v>-5.8608611503705372</v>
      </c>
      <c r="P1288" s="84">
        <f t="shared" ca="1" si="36"/>
        <v>-7.3590849048426614</v>
      </c>
      <c r="Q1288" s="84">
        <f t="shared" si="35"/>
        <v>-6.4804217089917202</v>
      </c>
    </row>
    <row r="1289" spans="10:17" x14ac:dyDescent="0.25">
      <c r="J1289" s="84">
        <f t="shared" ca="1" si="37"/>
        <v>-12.491738112734579</v>
      </c>
      <c r="K1289" s="84">
        <f t="shared" ca="1" si="30"/>
        <v>-11.050860263829124</v>
      </c>
      <c r="L1289" s="84">
        <f t="shared" ca="1" si="31"/>
        <v>-4.9699650479544646</v>
      </c>
      <c r="M1289" s="84">
        <f t="shared" ca="1" si="32"/>
        <v>-8.0104126558917983</v>
      </c>
      <c r="N1289" s="84">
        <f t="shared" ca="1" si="33"/>
        <v>-10.159964161413052</v>
      </c>
      <c r="O1289" s="84">
        <f t="shared" si="34"/>
        <v>-5.8608611503705372</v>
      </c>
      <c r="P1289" s="84">
        <f t="shared" ca="1" si="36"/>
        <v>-7.3590849048426614</v>
      </c>
      <c r="Q1289" s="84">
        <f t="shared" si="35"/>
        <v>-6.4804217089917202</v>
      </c>
    </row>
    <row r="1290" spans="10:17" x14ac:dyDescent="0.25">
      <c r="J1290" s="84">
        <f t="shared" ca="1" si="37"/>
        <v>-12.491738112734579</v>
      </c>
      <c r="K1290" s="84">
        <f t="shared" ca="1" si="30"/>
        <v>-11.050860263829124</v>
      </c>
      <c r="L1290" s="84">
        <f t="shared" ca="1" si="31"/>
        <v>-4.9699650479544646</v>
      </c>
      <c r="M1290" s="84">
        <f t="shared" ca="1" si="32"/>
        <v>-8.0104126558917983</v>
      </c>
      <c r="N1290" s="84">
        <f t="shared" ca="1" si="33"/>
        <v>-10.159964161413052</v>
      </c>
      <c r="O1290" s="84">
        <f t="shared" si="34"/>
        <v>-5.8608611503705372</v>
      </c>
      <c r="P1290" s="84">
        <f t="shared" ca="1" si="36"/>
        <v>-7.3590849048426614</v>
      </c>
      <c r="Q1290" s="84">
        <f t="shared" si="35"/>
        <v>-6.4804217089917202</v>
      </c>
    </row>
    <row r="1291" spans="10:17" x14ac:dyDescent="0.25">
      <c r="J1291" s="84">
        <f t="shared" ca="1" si="37"/>
        <v>-12.491738112734579</v>
      </c>
      <c r="K1291" s="84">
        <f t="shared" ca="1" si="30"/>
        <v>-11.050860263829124</v>
      </c>
      <c r="L1291" s="84">
        <f t="shared" ca="1" si="31"/>
        <v>-4.9699650479544646</v>
      </c>
      <c r="M1291" s="84">
        <f t="shared" ca="1" si="32"/>
        <v>-8.0104126558917983</v>
      </c>
      <c r="N1291" s="84">
        <f t="shared" ca="1" si="33"/>
        <v>-10.159964161413052</v>
      </c>
      <c r="O1291" s="84">
        <f t="shared" si="34"/>
        <v>-5.8608611503705372</v>
      </c>
      <c r="P1291" s="84">
        <f t="shared" ca="1" si="36"/>
        <v>-7.3590849048426614</v>
      </c>
      <c r="Q1291" s="84">
        <f t="shared" si="35"/>
        <v>-6.4804217089917202</v>
      </c>
    </row>
    <row r="1292" spans="10:17" x14ac:dyDescent="0.25">
      <c r="J1292" s="84">
        <f t="shared" ca="1" si="37"/>
        <v>-12.491738112734579</v>
      </c>
      <c r="K1292" s="84">
        <f t="shared" ca="1" si="30"/>
        <v>-11.050860263829124</v>
      </c>
      <c r="L1292" s="84">
        <f t="shared" ca="1" si="31"/>
        <v>-4.9699650479544646</v>
      </c>
      <c r="M1292" s="84">
        <f t="shared" ca="1" si="32"/>
        <v>-8.0104126558917983</v>
      </c>
      <c r="N1292" s="84">
        <f t="shared" ca="1" si="33"/>
        <v>-10.159964161413052</v>
      </c>
      <c r="O1292" s="84">
        <f t="shared" si="34"/>
        <v>-5.8608611503705372</v>
      </c>
      <c r="P1292" s="84">
        <f t="shared" ca="1" si="36"/>
        <v>-7.3590849048426614</v>
      </c>
      <c r="Q1292" s="84">
        <f t="shared" si="35"/>
        <v>-6.4804217089917202</v>
      </c>
    </row>
    <row r="1293" spans="10:17" x14ac:dyDescent="0.25">
      <c r="J1293" s="84">
        <f t="shared" ca="1" si="37"/>
        <v>-12.491738112734579</v>
      </c>
      <c r="K1293" s="84">
        <f t="shared" ca="1" si="30"/>
        <v>-11.050860263829124</v>
      </c>
      <c r="L1293" s="84">
        <f t="shared" ca="1" si="31"/>
        <v>-4.9699650479544646</v>
      </c>
      <c r="M1293" s="84">
        <f t="shared" ca="1" si="32"/>
        <v>-8.0104126558917983</v>
      </c>
      <c r="N1293" s="84">
        <f t="shared" ca="1" si="33"/>
        <v>-10.159964161413052</v>
      </c>
      <c r="O1293" s="84">
        <f t="shared" si="34"/>
        <v>-5.8608611503705372</v>
      </c>
      <c r="P1293" s="84">
        <f t="shared" ca="1" si="36"/>
        <v>-7.3590849048426614</v>
      </c>
      <c r="Q1293" s="84">
        <f t="shared" si="35"/>
        <v>-6.4804217089917202</v>
      </c>
    </row>
    <row r="1294" spans="10:17" x14ac:dyDescent="0.25">
      <c r="J1294" s="84">
        <f t="shared" ca="1" si="37"/>
        <v>-12.491738112734579</v>
      </c>
      <c r="K1294" s="84">
        <f t="shared" ca="1" si="30"/>
        <v>-11.050860263829124</v>
      </c>
      <c r="L1294" s="84">
        <f t="shared" ca="1" si="31"/>
        <v>-4.9699650479544646</v>
      </c>
      <c r="M1294" s="84">
        <f t="shared" ca="1" si="32"/>
        <v>-8.0104126558917983</v>
      </c>
      <c r="N1294" s="84">
        <f t="shared" ca="1" si="33"/>
        <v>-10.159964161413052</v>
      </c>
      <c r="O1294" s="84">
        <f t="shared" si="34"/>
        <v>-5.8608611503705372</v>
      </c>
      <c r="P1294" s="84">
        <f t="shared" ca="1" si="36"/>
        <v>-7.3590849048426614</v>
      </c>
      <c r="Q1294" s="84">
        <f t="shared" si="35"/>
        <v>-6.4804217089917202</v>
      </c>
    </row>
    <row r="1295" spans="10:17" x14ac:dyDescent="0.25">
      <c r="J1295" s="84">
        <f t="shared" ca="1" si="37"/>
        <v>-12.491738112734579</v>
      </c>
      <c r="K1295" s="84">
        <f t="shared" ca="1" si="30"/>
        <v>-11.050860263829124</v>
      </c>
      <c r="L1295" s="84">
        <f t="shared" ca="1" si="31"/>
        <v>-4.9699650479544646</v>
      </c>
      <c r="M1295" s="84">
        <f t="shared" ca="1" si="32"/>
        <v>-8.0104126558917983</v>
      </c>
      <c r="N1295" s="84">
        <f t="shared" ca="1" si="33"/>
        <v>-10.159964161413052</v>
      </c>
      <c r="O1295" s="84">
        <f t="shared" si="34"/>
        <v>-5.8608611503705372</v>
      </c>
      <c r="P1295" s="84">
        <f t="shared" ca="1" si="36"/>
        <v>-7.3590849048426614</v>
      </c>
      <c r="Q1295" s="84">
        <f t="shared" si="35"/>
        <v>-6.4804217089917202</v>
      </c>
    </row>
    <row r="1296" spans="10:17" x14ac:dyDescent="0.25">
      <c r="J1296" s="84">
        <f t="shared" ca="1" si="37"/>
        <v>-12.491738112734579</v>
      </c>
      <c r="K1296" s="84">
        <f t="shared" ca="1" si="30"/>
        <v>-11.050860263829124</v>
      </c>
      <c r="L1296" s="84">
        <f t="shared" ca="1" si="31"/>
        <v>-4.9699650479544646</v>
      </c>
      <c r="M1296" s="84">
        <f t="shared" ca="1" si="32"/>
        <v>-8.0104126558917983</v>
      </c>
      <c r="N1296" s="84">
        <f t="shared" ca="1" si="33"/>
        <v>-10.159964161413052</v>
      </c>
      <c r="O1296" s="84">
        <f t="shared" si="34"/>
        <v>-5.8608611503705372</v>
      </c>
      <c r="P1296" s="84">
        <f t="shared" ca="1" si="36"/>
        <v>-7.3590849048426614</v>
      </c>
      <c r="Q1296" s="84">
        <f t="shared" si="35"/>
        <v>-6.4804217089917202</v>
      </c>
    </row>
    <row r="1297" spans="10:17" x14ac:dyDescent="0.25">
      <c r="J1297" s="84">
        <f t="shared" ca="1" si="37"/>
        <v>-12.491738112734579</v>
      </c>
      <c r="K1297" s="84">
        <f t="shared" ca="1" si="30"/>
        <v>-11.050860263829124</v>
      </c>
      <c r="L1297" s="84">
        <f t="shared" ca="1" si="31"/>
        <v>-4.9699650479544646</v>
      </c>
      <c r="M1297" s="84">
        <f t="shared" ca="1" si="32"/>
        <v>-8.0104126558917983</v>
      </c>
      <c r="N1297" s="84">
        <f t="shared" ca="1" si="33"/>
        <v>-10.159964161413052</v>
      </c>
      <c r="O1297" s="84">
        <f t="shared" si="34"/>
        <v>-5.8608611503705372</v>
      </c>
      <c r="P1297" s="84">
        <f t="shared" ca="1" si="36"/>
        <v>-7.3590849048426614</v>
      </c>
      <c r="Q1297" s="84">
        <f t="shared" si="35"/>
        <v>-6.4804217089917202</v>
      </c>
    </row>
    <row r="1298" spans="10:17" x14ac:dyDescent="0.25">
      <c r="J1298" s="84">
        <f t="shared" ca="1" si="37"/>
        <v>-12.491738112734579</v>
      </c>
      <c r="K1298" s="84">
        <f t="shared" ca="1" si="30"/>
        <v>-11.050860263829124</v>
      </c>
      <c r="L1298" s="84">
        <f t="shared" ca="1" si="31"/>
        <v>-4.9699650479544646</v>
      </c>
      <c r="M1298" s="84">
        <f t="shared" ca="1" si="32"/>
        <v>-8.0104126558917983</v>
      </c>
      <c r="N1298" s="84">
        <f t="shared" ca="1" si="33"/>
        <v>-10.159964161413052</v>
      </c>
      <c r="O1298" s="84">
        <f t="shared" si="34"/>
        <v>-5.8608611503705372</v>
      </c>
      <c r="P1298" s="84">
        <f t="shared" ca="1" si="36"/>
        <v>-7.3590849048426614</v>
      </c>
      <c r="Q1298" s="84">
        <f t="shared" si="35"/>
        <v>-6.4804217089917202</v>
      </c>
    </row>
    <row r="1299" spans="10:17" x14ac:dyDescent="0.25">
      <c r="J1299" s="84">
        <f t="shared" ca="1" si="37"/>
        <v>-12.491738112734579</v>
      </c>
      <c r="K1299" s="84">
        <f t="shared" ca="1" si="30"/>
        <v>-11.050860263829124</v>
      </c>
      <c r="L1299" s="84">
        <f t="shared" ca="1" si="31"/>
        <v>-4.9699650479544646</v>
      </c>
      <c r="M1299" s="84">
        <f t="shared" ca="1" si="32"/>
        <v>-8.0104126558917983</v>
      </c>
      <c r="N1299" s="84">
        <f t="shared" ca="1" si="33"/>
        <v>-10.159964161413052</v>
      </c>
      <c r="O1299" s="84">
        <f t="shared" si="34"/>
        <v>-5.8608611503705372</v>
      </c>
      <c r="P1299" s="84">
        <f t="shared" ca="1" si="36"/>
        <v>-7.3590849048426614</v>
      </c>
      <c r="Q1299" s="84">
        <f t="shared" si="35"/>
        <v>-6.4804217089917202</v>
      </c>
    </row>
    <row r="1300" spans="10:17" x14ac:dyDescent="0.25">
      <c r="J1300" s="84">
        <f t="shared" ca="1" si="37"/>
        <v>-12.491738112734579</v>
      </c>
      <c r="K1300" s="84">
        <f t="shared" ca="1" si="30"/>
        <v>-11.050860263829124</v>
      </c>
      <c r="L1300" s="84">
        <f t="shared" ca="1" si="31"/>
        <v>-4.9699650479544646</v>
      </c>
      <c r="M1300" s="84">
        <f t="shared" ca="1" si="32"/>
        <v>-8.0104126558917983</v>
      </c>
      <c r="N1300" s="84">
        <f t="shared" ca="1" si="33"/>
        <v>-10.159964161413052</v>
      </c>
      <c r="O1300" s="84">
        <f t="shared" si="34"/>
        <v>-5.8608611503705372</v>
      </c>
      <c r="P1300" s="84">
        <f t="shared" ca="1" si="36"/>
        <v>-7.3590849048426614</v>
      </c>
      <c r="Q1300" s="84">
        <f t="shared" si="35"/>
        <v>-6.4804217089917202</v>
      </c>
    </row>
    <row r="1301" spans="10:17" x14ac:dyDescent="0.25">
      <c r="J1301" s="84">
        <f t="shared" ca="1" si="37"/>
        <v>-12.491738112734579</v>
      </c>
      <c r="K1301" s="84">
        <f t="shared" ca="1" si="30"/>
        <v>-11.050860263829124</v>
      </c>
      <c r="L1301" s="84">
        <f t="shared" ca="1" si="31"/>
        <v>-4.9699650479544646</v>
      </c>
      <c r="M1301" s="84">
        <f t="shared" ca="1" si="32"/>
        <v>-8.0104126558917983</v>
      </c>
      <c r="N1301" s="84">
        <f t="shared" ca="1" si="33"/>
        <v>-10.159964161413052</v>
      </c>
      <c r="O1301" s="84">
        <f t="shared" si="34"/>
        <v>-5.8608611503705372</v>
      </c>
      <c r="P1301" s="84">
        <f t="shared" ca="1" si="36"/>
        <v>-7.3590849048426614</v>
      </c>
      <c r="Q1301" s="84">
        <f t="shared" si="35"/>
        <v>-6.4804217089917202</v>
      </c>
    </row>
    <row r="1302" spans="10:17" x14ac:dyDescent="0.25">
      <c r="J1302" s="84">
        <f t="shared" ca="1" si="37"/>
        <v>-12.491738112734579</v>
      </c>
      <c r="K1302" s="84">
        <f t="shared" ca="1" si="30"/>
        <v>-11.050860263829124</v>
      </c>
      <c r="L1302" s="84">
        <f t="shared" ca="1" si="31"/>
        <v>-4.9699650479544646</v>
      </c>
      <c r="M1302" s="84">
        <f t="shared" ca="1" si="32"/>
        <v>-8.0104126558917983</v>
      </c>
      <c r="N1302" s="84">
        <f t="shared" ca="1" si="33"/>
        <v>-10.159964161413052</v>
      </c>
      <c r="O1302" s="84">
        <f t="shared" si="34"/>
        <v>-5.8608611503705372</v>
      </c>
      <c r="P1302" s="84">
        <f t="shared" ca="1" si="36"/>
        <v>-7.3590849048426614</v>
      </c>
      <c r="Q1302" s="84">
        <f t="shared" si="35"/>
        <v>-6.4804217089917202</v>
      </c>
    </row>
    <row r="1303" spans="10:17" x14ac:dyDescent="0.25">
      <c r="J1303" s="84">
        <f t="shared" ca="1" si="37"/>
        <v>-12.491738112734579</v>
      </c>
      <c r="K1303" s="84">
        <f t="shared" ca="1" si="30"/>
        <v>-11.050860263829124</v>
      </c>
      <c r="L1303" s="84">
        <f t="shared" ca="1" si="31"/>
        <v>-4.9699650479544646</v>
      </c>
      <c r="M1303" s="84">
        <f t="shared" ca="1" si="32"/>
        <v>-8.0104126558917983</v>
      </c>
      <c r="N1303" s="84">
        <f t="shared" ca="1" si="33"/>
        <v>-10.159964161413052</v>
      </c>
      <c r="O1303" s="84">
        <f t="shared" si="34"/>
        <v>-5.8608611503705372</v>
      </c>
      <c r="P1303" s="84">
        <f t="shared" ca="1" si="36"/>
        <v>-7.3590849048426614</v>
      </c>
      <c r="Q1303" s="84">
        <f t="shared" si="35"/>
        <v>-6.4804217089917202</v>
      </c>
    </row>
    <row r="1304" spans="10:17" x14ac:dyDescent="0.25">
      <c r="J1304" s="84">
        <f t="shared" ca="1" si="37"/>
        <v>-12.491738112734579</v>
      </c>
      <c r="K1304" s="84">
        <f t="shared" ca="1" si="30"/>
        <v>-11.050860263829124</v>
      </c>
      <c r="L1304" s="84">
        <f t="shared" ca="1" si="31"/>
        <v>-4.9699650479544646</v>
      </c>
      <c r="M1304" s="84">
        <f t="shared" ca="1" si="32"/>
        <v>-8.0104126558917983</v>
      </c>
      <c r="N1304" s="84">
        <f t="shared" ca="1" si="33"/>
        <v>-10.159964161413052</v>
      </c>
      <c r="O1304" s="84">
        <f t="shared" si="34"/>
        <v>-5.8608611503705372</v>
      </c>
      <c r="P1304" s="84">
        <f t="shared" ca="1" si="36"/>
        <v>-7.3590849048426614</v>
      </c>
      <c r="Q1304" s="84">
        <f t="shared" si="35"/>
        <v>-6.4804217089917202</v>
      </c>
    </row>
    <row r="1305" spans="10:17" x14ac:dyDescent="0.25">
      <c r="J1305" s="84">
        <f t="shared" ca="1" si="37"/>
        <v>-12.491738112734579</v>
      </c>
      <c r="K1305" s="84">
        <f t="shared" ca="1" si="30"/>
        <v>-11.050860263829124</v>
      </c>
      <c r="L1305" s="84">
        <f t="shared" ca="1" si="31"/>
        <v>-4.9699650479544646</v>
      </c>
      <c r="M1305" s="84">
        <f t="shared" ca="1" si="32"/>
        <v>-8.0104126558917983</v>
      </c>
      <c r="N1305" s="84">
        <f t="shared" ca="1" si="33"/>
        <v>-10.159964161413052</v>
      </c>
      <c r="O1305" s="84">
        <f t="shared" si="34"/>
        <v>-5.8608611503705372</v>
      </c>
      <c r="P1305" s="84">
        <f t="shared" ca="1" si="36"/>
        <v>-7.3590849048426614</v>
      </c>
      <c r="Q1305" s="84">
        <f t="shared" si="35"/>
        <v>-6.4804217089917202</v>
      </c>
    </row>
    <row r="1306" spans="10:17" x14ac:dyDescent="0.25">
      <c r="J1306" s="84">
        <f t="shared" ca="1" si="37"/>
        <v>-12.491738112734579</v>
      </c>
      <c r="K1306" s="84">
        <f t="shared" ca="1" si="30"/>
        <v>-11.050860263829124</v>
      </c>
      <c r="L1306" s="84">
        <f t="shared" ca="1" si="31"/>
        <v>-4.9699650479544646</v>
      </c>
      <c r="M1306" s="84">
        <f t="shared" ca="1" si="32"/>
        <v>-8.0104126558917983</v>
      </c>
      <c r="N1306" s="84">
        <f t="shared" ca="1" si="33"/>
        <v>-10.159964161413052</v>
      </c>
      <c r="O1306" s="84">
        <f t="shared" si="34"/>
        <v>-5.8608611503705372</v>
      </c>
      <c r="P1306" s="84">
        <f t="shared" ca="1" si="36"/>
        <v>-7.3590849048426614</v>
      </c>
      <c r="Q1306" s="84">
        <f t="shared" si="35"/>
        <v>-6.4804217089917202</v>
      </c>
    </row>
    <row r="1307" spans="10:17" x14ac:dyDescent="0.25">
      <c r="J1307" s="84">
        <f t="shared" ca="1" si="37"/>
        <v>-12.491738112734579</v>
      </c>
      <c r="K1307" s="84">
        <f t="shared" ca="1" si="30"/>
        <v>-11.050860263829124</v>
      </c>
      <c r="L1307" s="84">
        <f t="shared" ca="1" si="31"/>
        <v>-4.9699650479544646</v>
      </c>
      <c r="M1307" s="84">
        <f t="shared" ca="1" si="32"/>
        <v>-8.0104126558917983</v>
      </c>
      <c r="N1307" s="84">
        <f t="shared" ca="1" si="33"/>
        <v>-10.159964161413052</v>
      </c>
      <c r="O1307" s="84">
        <f t="shared" si="34"/>
        <v>-5.8608611503705372</v>
      </c>
      <c r="P1307" s="84">
        <f t="shared" ca="1" si="36"/>
        <v>-7.3590849048426614</v>
      </c>
      <c r="Q1307" s="84">
        <f t="shared" si="35"/>
        <v>-6.4804217089917202</v>
      </c>
    </row>
    <row r="1308" spans="10:17" x14ac:dyDescent="0.25">
      <c r="J1308" s="84">
        <f t="shared" ca="1" si="37"/>
        <v>-12.491738112734579</v>
      </c>
      <c r="K1308" s="84">
        <f t="shared" ca="1" si="30"/>
        <v>-11.050860263829124</v>
      </c>
      <c r="L1308" s="84">
        <f t="shared" ca="1" si="31"/>
        <v>-4.9699650479544646</v>
      </c>
      <c r="M1308" s="84">
        <f t="shared" ca="1" si="32"/>
        <v>-8.0104126558917983</v>
      </c>
      <c r="N1308" s="84">
        <f t="shared" ca="1" si="33"/>
        <v>-10.159964161413052</v>
      </c>
      <c r="O1308" s="84">
        <f t="shared" si="34"/>
        <v>-5.8608611503705372</v>
      </c>
      <c r="P1308" s="84">
        <f t="shared" ca="1" si="36"/>
        <v>-7.3590849048426614</v>
      </c>
      <c r="Q1308" s="84">
        <f t="shared" si="35"/>
        <v>-6.4804217089917202</v>
      </c>
    </row>
    <row r="1309" spans="10:17" x14ac:dyDescent="0.25">
      <c r="J1309" s="84">
        <f t="shared" ca="1" si="37"/>
        <v>-12.491738112734579</v>
      </c>
      <c r="K1309" s="84">
        <f t="shared" ca="1" si="30"/>
        <v>-11.050860263829124</v>
      </c>
      <c r="L1309" s="84">
        <f t="shared" ca="1" si="31"/>
        <v>-4.9699650479544646</v>
      </c>
      <c r="M1309" s="84">
        <f t="shared" ca="1" si="32"/>
        <v>-8.0104126558917983</v>
      </c>
      <c r="N1309" s="84">
        <f t="shared" ca="1" si="33"/>
        <v>-10.159964161413052</v>
      </c>
      <c r="O1309" s="84">
        <f t="shared" si="34"/>
        <v>-5.8608611503705372</v>
      </c>
      <c r="P1309" s="84">
        <f t="shared" ca="1" si="36"/>
        <v>-7.3590849048426614</v>
      </c>
      <c r="Q1309" s="84">
        <f t="shared" si="35"/>
        <v>-6.4804217089917202</v>
      </c>
    </row>
    <row r="1310" spans="10:17" x14ac:dyDescent="0.25">
      <c r="J1310" s="84">
        <f t="shared" ca="1" si="37"/>
        <v>-12.491738112734579</v>
      </c>
      <c r="K1310" s="84">
        <f t="shared" ca="1" si="30"/>
        <v>-11.050860263829124</v>
      </c>
      <c r="L1310" s="84">
        <f t="shared" ca="1" si="31"/>
        <v>-4.9699650479544646</v>
      </c>
      <c r="M1310" s="84">
        <f t="shared" ca="1" si="32"/>
        <v>-8.0104126558917983</v>
      </c>
      <c r="N1310" s="84">
        <f t="shared" ca="1" si="33"/>
        <v>-10.159964161413052</v>
      </c>
      <c r="O1310" s="84">
        <f t="shared" si="34"/>
        <v>-5.8608611503705372</v>
      </c>
      <c r="P1310" s="84">
        <f t="shared" ca="1" si="36"/>
        <v>-7.3590849048426614</v>
      </c>
      <c r="Q1310" s="84">
        <f t="shared" si="35"/>
        <v>-6.4804217089917202</v>
      </c>
    </row>
    <row r="1311" spans="10:17" x14ac:dyDescent="0.25">
      <c r="J1311" s="84">
        <f t="shared" ca="1" si="37"/>
        <v>-12.491738112734579</v>
      </c>
      <c r="K1311" s="84">
        <f t="shared" ca="1" si="30"/>
        <v>-11.050860263829124</v>
      </c>
      <c r="L1311" s="84">
        <f t="shared" ca="1" si="31"/>
        <v>-4.9699650479544646</v>
      </c>
      <c r="M1311" s="84">
        <f t="shared" ca="1" si="32"/>
        <v>-8.0104126558917983</v>
      </c>
      <c r="N1311" s="84">
        <f t="shared" ca="1" si="33"/>
        <v>-10.159964161413052</v>
      </c>
      <c r="O1311" s="84">
        <f t="shared" si="34"/>
        <v>-5.8608611503705372</v>
      </c>
      <c r="P1311" s="84">
        <f t="shared" ca="1" si="36"/>
        <v>-7.3590849048426614</v>
      </c>
      <c r="Q1311" s="84">
        <f t="shared" si="35"/>
        <v>-6.4804217089917202</v>
      </c>
    </row>
    <row r="1312" spans="10:17" x14ac:dyDescent="0.25">
      <c r="J1312" s="84">
        <f t="shared" ca="1" si="37"/>
        <v>-12.491738112734579</v>
      </c>
      <c r="K1312" s="84">
        <f t="shared" ca="1" si="30"/>
        <v>-11.050860263829124</v>
      </c>
      <c r="L1312" s="84">
        <f t="shared" ca="1" si="31"/>
        <v>-4.9699650479544646</v>
      </c>
      <c r="M1312" s="84">
        <f t="shared" ca="1" si="32"/>
        <v>-8.0104126558917983</v>
      </c>
      <c r="N1312" s="84">
        <f t="shared" ca="1" si="33"/>
        <v>-10.159964161413052</v>
      </c>
      <c r="O1312" s="84">
        <f t="shared" si="34"/>
        <v>-5.8608611503705372</v>
      </c>
      <c r="P1312" s="84">
        <f t="shared" ca="1" si="36"/>
        <v>-7.3590849048426614</v>
      </c>
      <c r="Q1312" s="84">
        <f t="shared" si="35"/>
        <v>-6.4804217089917202</v>
      </c>
    </row>
    <row r="1313" spans="10:17" x14ac:dyDescent="0.25">
      <c r="J1313" s="84">
        <f t="shared" ca="1" si="37"/>
        <v>-12.491738112734579</v>
      </c>
      <c r="K1313" s="84">
        <f t="shared" ca="1" si="30"/>
        <v>-11.050860263829124</v>
      </c>
      <c r="L1313" s="84">
        <f t="shared" ca="1" si="31"/>
        <v>-4.9699650479544646</v>
      </c>
      <c r="M1313" s="84">
        <f t="shared" ca="1" si="32"/>
        <v>-8.0104126558917983</v>
      </c>
      <c r="N1313" s="84">
        <f t="shared" ca="1" si="33"/>
        <v>-10.159964161413052</v>
      </c>
      <c r="O1313" s="84">
        <f t="shared" si="34"/>
        <v>-5.8608611503705372</v>
      </c>
      <c r="P1313" s="84">
        <f t="shared" ca="1" si="36"/>
        <v>-7.3590849048426614</v>
      </c>
      <c r="Q1313" s="84">
        <f t="shared" si="35"/>
        <v>-6.4804217089917202</v>
      </c>
    </row>
    <row r="1314" spans="10:17" x14ac:dyDescent="0.25">
      <c r="J1314" s="84">
        <f t="shared" ca="1" si="37"/>
        <v>-12.491738112734579</v>
      </c>
      <c r="K1314" s="84">
        <f t="shared" ca="1" si="30"/>
        <v>-11.050860263829124</v>
      </c>
      <c r="L1314" s="84">
        <f t="shared" ca="1" si="31"/>
        <v>-4.9699650479544646</v>
      </c>
      <c r="M1314" s="84">
        <f t="shared" ca="1" si="32"/>
        <v>-8.0104126558917983</v>
      </c>
      <c r="N1314" s="84">
        <f t="shared" ca="1" si="33"/>
        <v>-10.159964161413052</v>
      </c>
      <c r="O1314" s="84">
        <f t="shared" si="34"/>
        <v>-5.8608611503705372</v>
      </c>
      <c r="P1314" s="84">
        <f t="shared" ca="1" si="36"/>
        <v>-7.3590849048426614</v>
      </c>
      <c r="Q1314" s="84">
        <f t="shared" si="35"/>
        <v>-6.4804217089917202</v>
      </c>
    </row>
    <row r="1315" spans="10:17" x14ac:dyDescent="0.25">
      <c r="J1315" s="84">
        <f t="shared" ca="1" si="37"/>
        <v>-12.491738112734579</v>
      </c>
      <c r="K1315" s="84">
        <f t="shared" ca="1" si="30"/>
        <v>-11.050860263829124</v>
      </c>
      <c r="L1315" s="84">
        <f t="shared" ca="1" si="31"/>
        <v>-4.9699650479544646</v>
      </c>
      <c r="M1315" s="84">
        <f t="shared" ca="1" si="32"/>
        <v>-8.0104126558917983</v>
      </c>
      <c r="N1315" s="84">
        <f t="shared" ca="1" si="33"/>
        <v>-10.159964161413052</v>
      </c>
      <c r="O1315" s="84">
        <f t="shared" si="34"/>
        <v>-5.8608611503705372</v>
      </c>
      <c r="P1315" s="84">
        <f t="shared" ca="1" si="36"/>
        <v>-7.3590849048426614</v>
      </c>
      <c r="Q1315" s="84">
        <f t="shared" si="35"/>
        <v>-6.4804217089917202</v>
      </c>
    </row>
    <row r="1316" spans="10:17" x14ac:dyDescent="0.25">
      <c r="J1316" s="84">
        <f t="shared" ca="1" si="37"/>
        <v>-12.491738112734579</v>
      </c>
      <c r="K1316" s="84">
        <f t="shared" ca="1" si="30"/>
        <v>-11.050860263829124</v>
      </c>
      <c r="L1316" s="84">
        <f t="shared" ca="1" si="31"/>
        <v>-4.9699650479544646</v>
      </c>
      <c r="M1316" s="84">
        <f t="shared" ca="1" si="32"/>
        <v>-8.0104126558917983</v>
      </c>
      <c r="N1316" s="84">
        <f t="shared" ca="1" si="33"/>
        <v>-10.159964161413052</v>
      </c>
      <c r="O1316" s="84">
        <f t="shared" si="34"/>
        <v>-5.8608611503705372</v>
      </c>
      <c r="P1316" s="84">
        <f t="shared" ca="1" si="36"/>
        <v>-7.3590849048426614</v>
      </c>
      <c r="Q1316" s="84">
        <f t="shared" si="35"/>
        <v>-6.4804217089917202</v>
      </c>
    </row>
    <row r="1317" spans="10:17" x14ac:dyDescent="0.25">
      <c r="J1317" s="84">
        <f t="shared" ca="1" si="37"/>
        <v>-12.491738112734579</v>
      </c>
      <c r="K1317" s="84">
        <f t="shared" ca="1" si="30"/>
        <v>-11.050860263829124</v>
      </c>
      <c r="L1317" s="84">
        <f t="shared" ca="1" si="31"/>
        <v>-4.9699650479544646</v>
      </c>
      <c r="M1317" s="84">
        <f t="shared" ca="1" si="32"/>
        <v>-8.0104126558917983</v>
      </c>
      <c r="N1317" s="84">
        <f t="shared" ca="1" si="33"/>
        <v>-10.159964161413052</v>
      </c>
      <c r="O1317" s="84">
        <f t="shared" si="34"/>
        <v>-5.8608611503705372</v>
      </c>
      <c r="P1317" s="84">
        <f t="shared" ca="1" si="36"/>
        <v>-7.3590849048426614</v>
      </c>
      <c r="Q1317" s="84">
        <f t="shared" si="35"/>
        <v>-6.4804217089917202</v>
      </c>
    </row>
    <row r="1318" spans="10:17" x14ac:dyDescent="0.25">
      <c r="J1318" s="84">
        <f t="shared" ca="1" si="37"/>
        <v>-12.491738112734579</v>
      </c>
      <c r="K1318" s="84">
        <f t="shared" ca="1" si="30"/>
        <v>-11.050860263829124</v>
      </c>
      <c r="L1318" s="84">
        <f t="shared" ca="1" si="31"/>
        <v>-4.9699650479544646</v>
      </c>
      <c r="M1318" s="84">
        <f t="shared" ca="1" si="32"/>
        <v>-8.0104126558917983</v>
      </c>
      <c r="N1318" s="84">
        <f t="shared" ca="1" si="33"/>
        <v>-10.159964161413052</v>
      </c>
      <c r="O1318" s="84">
        <f t="shared" si="34"/>
        <v>-5.8608611503705372</v>
      </c>
      <c r="P1318" s="84">
        <f t="shared" ca="1" si="36"/>
        <v>-7.3590849048426614</v>
      </c>
      <c r="Q1318" s="84">
        <f t="shared" si="35"/>
        <v>-6.4804217089917202</v>
      </c>
    </row>
    <row r="1319" spans="10:17" x14ac:dyDescent="0.25">
      <c r="J1319" s="84">
        <f t="shared" ca="1" si="37"/>
        <v>-12.491738112734579</v>
      </c>
      <c r="K1319" s="84">
        <f t="shared" ca="1" si="30"/>
        <v>-11.050860263829124</v>
      </c>
      <c r="L1319" s="84">
        <f t="shared" ca="1" si="31"/>
        <v>-4.9699650479544646</v>
      </c>
      <c r="M1319" s="84">
        <f t="shared" ca="1" si="32"/>
        <v>-8.0104126558917983</v>
      </c>
      <c r="N1319" s="84">
        <f t="shared" ca="1" si="33"/>
        <v>-10.159964161413052</v>
      </c>
      <c r="O1319" s="84">
        <f t="shared" si="34"/>
        <v>-5.8608611503705372</v>
      </c>
      <c r="P1319" s="84">
        <f t="shared" ca="1" si="36"/>
        <v>-7.3590849048426614</v>
      </c>
      <c r="Q1319" s="84">
        <f t="shared" si="35"/>
        <v>-6.4804217089917202</v>
      </c>
    </row>
    <row r="1320" spans="10:17" x14ac:dyDescent="0.25">
      <c r="J1320" s="84">
        <f t="shared" ca="1" si="37"/>
        <v>-12.491738112734579</v>
      </c>
      <c r="K1320" s="84">
        <f t="shared" ca="1" si="30"/>
        <v>-11.050860263829124</v>
      </c>
      <c r="L1320" s="84">
        <f t="shared" ca="1" si="31"/>
        <v>-4.9699650479544646</v>
      </c>
      <c r="M1320" s="84">
        <f t="shared" ca="1" si="32"/>
        <v>-8.0104126558917983</v>
      </c>
      <c r="N1320" s="84">
        <f t="shared" ca="1" si="33"/>
        <v>-10.159964161413052</v>
      </c>
      <c r="O1320" s="84">
        <f t="shared" si="34"/>
        <v>-5.8608611503705372</v>
      </c>
      <c r="P1320" s="84">
        <f t="shared" ca="1" si="36"/>
        <v>-7.3590849048426614</v>
      </c>
      <c r="Q1320" s="84">
        <f t="shared" si="35"/>
        <v>-6.4804217089917202</v>
      </c>
    </row>
    <row r="1321" spans="10:17" x14ac:dyDescent="0.25">
      <c r="J1321" s="84">
        <f t="shared" ca="1" si="37"/>
        <v>-12.491738112734579</v>
      </c>
      <c r="K1321" s="84">
        <f t="shared" ca="1" si="30"/>
        <v>-11.050860263829124</v>
      </c>
      <c r="L1321" s="84">
        <f t="shared" ca="1" si="31"/>
        <v>-4.9699650479544646</v>
      </c>
      <c r="M1321" s="84">
        <f t="shared" ca="1" si="32"/>
        <v>-8.0104126558917983</v>
      </c>
      <c r="N1321" s="84">
        <f t="shared" ca="1" si="33"/>
        <v>-10.159964161413052</v>
      </c>
      <c r="O1321" s="84">
        <f t="shared" si="34"/>
        <v>-5.8608611503705372</v>
      </c>
      <c r="P1321" s="84">
        <f t="shared" ca="1" si="36"/>
        <v>-7.3590849048426614</v>
      </c>
      <c r="Q1321" s="84">
        <f t="shared" si="35"/>
        <v>-6.4804217089917202</v>
      </c>
    </row>
    <row r="1322" spans="10:17" x14ac:dyDescent="0.25">
      <c r="J1322" s="84">
        <f t="shared" ca="1" si="37"/>
        <v>-12.491738112734579</v>
      </c>
      <c r="K1322" s="84">
        <f t="shared" ca="1" si="30"/>
        <v>-11.050860263829124</v>
      </c>
      <c r="L1322" s="84">
        <f t="shared" ca="1" si="31"/>
        <v>-4.9699650479544646</v>
      </c>
      <c r="M1322" s="84">
        <f t="shared" ca="1" si="32"/>
        <v>-8.0104126558917983</v>
      </c>
      <c r="N1322" s="84">
        <f t="shared" ca="1" si="33"/>
        <v>-10.159964161413052</v>
      </c>
      <c r="O1322" s="84">
        <f t="shared" si="34"/>
        <v>-5.8608611503705372</v>
      </c>
      <c r="P1322" s="84">
        <f t="shared" ca="1" si="36"/>
        <v>-7.3590849048426614</v>
      </c>
      <c r="Q1322" s="84">
        <f t="shared" si="35"/>
        <v>-6.4804217089917202</v>
      </c>
    </row>
    <row r="1323" spans="10:17" x14ac:dyDescent="0.25">
      <c r="J1323" s="84">
        <f t="shared" ca="1" si="37"/>
        <v>-12.491738112734579</v>
      </c>
      <c r="K1323" s="84">
        <f t="shared" ca="1" si="30"/>
        <v>-11.050860263829124</v>
      </c>
      <c r="L1323" s="84">
        <f t="shared" ca="1" si="31"/>
        <v>-4.9699650479544646</v>
      </c>
      <c r="M1323" s="84">
        <f t="shared" ca="1" si="32"/>
        <v>-8.0104126558917983</v>
      </c>
      <c r="N1323" s="84">
        <f t="shared" ca="1" si="33"/>
        <v>-10.159964161413052</v>
      </c>
      <c r="O1323" s="84">
        <f t="shared" si="34"/>
        <v>-5.8608611503705372</v>
      </c>
      <c r="P1323" s="84">
        <f t="shared" ca="1" si="36"/>
        <v>-7.3590849048426614</v>
      </c>
      <c r="Q1323" s="84">
        <f t="shared" si="35"/>
        <v>-6.4804217089917202</v>
      </c>
    </row>
    <row r="1324" spans="10:17" x14ac:dyDescent="0.25">
      <c r="J1324" s="84">
        <f t="shared" ca="1" si="37"/>
        <v>-12.491738112734579</v>
      </c>
      <c r="K1324" s="84">
        <f t="shared" ref="K1324:K1387" ca="1" si="38">$AF$14-B1325</f>
        <v>-11.050860263829124</v>
      </c>
      <c r="L1324" s="84">
        <f t="shared" ref="L1324:L1387" ca="1" si="39">-0.5*B1325-$AF$15</f>
        <v>-4.9699650479544646</v>
      </c>
      <c r="M1324" s="84">
        <f t="shared" ref="M1324:M1387" ca="1" si="40">-0.75*B1325-$AF$16</f>
        <v>-8.0104126558917983</v>
      </c>
      <c r="N1324" s="84">
        <f t="shared" ref="N1324:N1387" ca="1" si="41">-B1325-$AF$17</f>
        <v>-10.159964161413052</v>
      </c>
      <c r="O1324" s="84">
        <f t="shared" ref="O1324:O1387" si="42">(-0.25*B1325-$AF$18)/0.5</f>
        <v>-5.8608611503705372</v>
      </c>
      <c r="P1324" s="84">
        <f t="shared" ca="1" si="36"/>
        <v>-7.3590849048426614</v>
      </c>
      <c r="Q1324" s="84">
        <f t="shared" ref="Q1324:Q1387" si="43">-0.5*B1325-$AF$20</f>
        <v>-6.4804217089917202</v>
      </c>
    </row>
    <row r="1325" spans="10:17" x14ac:dyDescent="0.25">
      <c r="J1325" s="84">
        <f t="shared" ca="1" si="37"/>
        <v>-12.491738112734579</v>
      </c>
      <c r="K1325" s="84">
        <f t="shared" ca="1" si="38"/>
        <v>-11.050860263829124</v>
      </c>
      <c r="L1325" s="84">
        <f t="shared" ca="1" si="39"/>
        <v>-4.9699650479544646</v>
      </c>
      <c r="M1325" s="84">
        <f t="shared" ca="1" si="40"/>
        <v>-8.0104126558917983</v>
      </c>
      <c r="N1325" s="84">
        <f t="shared" ca="1" si="41"/>
        <v>-10.159964161413052</v>
      </c>
      <c r="O1325" s="84">
        <f t="shared" si="42"/>
        <v>-5.8608611503705372</v>
      </c>
      <c r="P1325" s="84">
        <f t="shared" ca="1" si="36"/>
        <v>-7.3590849048426614</v>
      </c>
      <c r="Q1325" s="84">
        <f t="shared" si="43"/>
        <v>-6.4804217089917202</v>
      </c>
    </row>
    <row r="1326" spans="10:17" x14ac:dyDescent="0.25">
      <c r="J1326" s="84">
        <f t="shared" ca="1" si="37"/>
        <v>-12.491738112734579</v>
      </c>
      <c r="K1326" s="84">
        <f t="shared" ca="1" si="38"/>
        <v>-11.050860263829124</v>
      </c>
      <c r="L1326" s="84">
        <f t="shared" ca="1" si="39"/>
        <v>-4.9699650479544646</v>
      </c>
      <c r="M1326" s="84">
        <f t="shared" ca="1" si="40"/>
        <v>-8.0104126558917983</v>
      </c>
      <c r="N1326" s="84">
        <f t="shared" ca="1" si="41"/>
        <v>-10.159964161413052</v>
      </c>
      <c r="O1326" s="84">
        <f t="shared" si="42"/>
        <v>-5.8608611503705372</v>
      </c>
      <c r="P1326" s="84">
        <f t="shared" ca="1" si="36"/>
        <v>-7.3590849048426614</v>
      </c>
      <c r="Q1326" s="84">
        <f t="shared" si="43"/>
        <v>-6.4804217089917202</v>
      </c>
    </row>
    <row r="1327" spans="10:17" x14ac:dyDescent="0.25">
      <c r="J1327" s="84">
        <f t="shared" ca="1" si="37"/>
        <v>-12.491738112734579</v>
      </c>
      <c r="K1327" s="84">
        <f t="shared" ca="1" si="38"/>
        <v>-11.050860263829124</v>
      </c>
      <c r="L1327" s="84">
        <f t="shared" ca="1" si="39"/>
        <v>-4.9699650479544646</v>
      </c>
      <c r="M1327" s="84">
        <f t="shared" ca="1" si="40"/>
        <v>-8.0104126558917983</v>
      </c>
      <c r="N1327" s="84">
        <f t="shared" ca="1" si="41"/>
        <v>-10.159964161413052</v>
      </c>
      <c r="O1327" s="84">
        <f t="shared" si="42"/>
        <v>-5.8608611503705372</v>
      </c>
      <c r="P1327" s="84">
        <f t="shared" ca="1" si="36"/>
        <v>-7.3590849048426614</v>
      </c>
      <c r="Q1327" s="84">
        <f t="shared" si="43"/>
        <v>-6.4804217089917202</v>
      </c>
    </row>
    <row r="1328" spans="10:17" x14ac:dyDescent="0.25">
      <c r="J1328" s="84">
        <f t="shared" ca="1" si="37"/>
        <v>-12.491738112734579</v>
      </c>
      <c r="K1328" s="84">
        <f t="shared" ca="1" si="38"/>
        <v>-11.050860263829124</v>
      </c>
      <c r="L1328" s="84">
        <f t="shared" ca="1" si="39"/>
        <v>-4.9699650479544646</v>
      </c>
      <c r="M1328" s="84">
        <f t="shared" ca="1" si="40"/>
        <v>-8.0104126558917983</v>
      </c>
      <c r="N1328" s="84">
        <f t="shared" ca="1" si="41"/>
        <v>-10.159964161413052</v>
      </c>
      <c r="O1328" s="84">
        <f t="shared" si="42"/>
        <v>-5.8608611503705372</v>
      </c>
      <c r="P1328" s="84">
        <f t="shared" ca="1" si="36"/>
        <v>-7.3590849048426614</v>
      </c>
      <c r="Q1328" s="84">
        <f t="shared" si="43"/>
        <v>-6.4804217089917202</v>
      </c>
    </row>
    <row r="1329" spans="10:17" x14ac:dyDescent="0.25">
      <c r="J1329" s="84">
        <f t="shared" ca="1" si="37"/>
        <v>-12.491738112734579</v>
      </c>
      <c r="K1329" s="84">
        <f t="shared" ca="1" si="38"/>
        <v>-11.050860263829124</v>
      </c>
      <c r="L1329" s="84">
        <f t="shared" ca="1" si="39"/>
        <v>-4.9699650479544646</v>
      </c>
      <c r="M1329" s="84">
        <f t="shared" ca="1" si="40"/>
        <v>-8.0104126558917983</v>
      </c>
      <c r="N1329" s="84">
        <f t="shared" ca="1" si="41"/>
        <v>-10.159964161413052</v>
      </c>
      <c r="O1329" s="84">
        <f t="shared" si="42"/>
        <v>-5.8608611503705372</v>
      </c>
      <c r="P1329" s="84">
        <f t="shared" ca="1" si="36"/>
        <v>-7.3590849048426614</v>
      </c>
      <c r="Q1329" s="84">
        <f t="shared" si="43"/>
        <v>-6.4804217089917202</v>
      </c>
    </row>
    <row r="1330" spans="10:17" x14ac:dyDescent="0.25">
      <c r="J1330" s="84">
        <f t="shared" ca="1" si="37"/>
        <v>-12.491738112734579</v>
      </c>
      <c r="K1330" s="84">
        <f t="shared" ca="1" si="38"/>
        <v>-11.050860263829124</v>
      </c>
      <c r="L1330" s="84">
        <f t="shared" ca="1" si="39"/>
        <v>-4.9699650479544646</v>
      </c>
      <c r="M1330" s="84">
        <f t="shared" ca="1" si="40"/>
        <v>-8.0104126558917983</v>
      </c>
      <c r="N1330" s="84">
        <f t="shared" ca="1" si="41"/>
        <v>-10.159964161413052</v>
      </c>
      <c r="O1330" s="84">
        <f t="shared" si="42"/>
        <v>-5.8608611503705372</v>
      </c>
      <c r="P1330" s="84">
        <f t="shared" ca="1" si="36"/>
        <v>-7.3590849048426614</v>
      </c>
      <c r="Q1330" s="84">
        <f t="shared" si="43"/>
        <v>-6.4804217089917202</v>
      </c>
    </row>
    <row r="1331" spans="10:17" x14ac:dyDescent="0.25">
      <c r="J1331" s="84">
        <f t="shared" ca="1" si="37"/>
        <v>-12.491738112734579</v>
      </c>
      <c r="K1331" s="84">
        <f t="shared" ca="1" si="38"/>
        <v>-11.050860263829124</v>
      </c>
      <c r="L1331" s="84">
        <f t="shared" ca="1" si="39"/>
        <v>-4.9699650479544646</v>
      </c>
      <c r="M1331" s="84">
        <f t="shared" ca="1" si="40"/>
        <v>-8.0104126558917983</v>
      </c>
      <c r="N1331" s="84">
        <f t="shared" ca="1" si="41"/>
        <v>-10.159964161413052</v>
      </c>
      <c r="O1331" s="84">
        <f t="shared" si="42"/>
        <v>-5.8608611503705372</v>
      </c>
      <c r="P1331" s="84">
        <f t="shared" ca="1" si="36"/>
        <v>-7.3590849048426614</v>
      </c>
      <c r="Q1331" s="84">
        <f t="shared" si="43"/>
        <v>-6.4804217089917202</v>
      </c>
    </row>
    <row r="1332" spans="10:17" x14ac:dyDescent="0.25">
      <c r="J1332" s="84">
        <f t="shared" ca="1" si="37"/>
        <v>-12.491738112734579</v>
      </c>
      <c r="K1332" s="84">
        <f t="shared" ca="1" si="38"/>
        <v>-11.050860263829124</v>
      </c>
      <c r="L1332" s="84">
        <f t="shared" ca="1" si="39"/>
        <v>-4.9699650479544646</v>
      </c>
      <c r="M1332" s="84">
        <f t="shared" ca="1" si="40"/>
        <v>-8.0104126558917983</v>
      </c>
      <c r="N1332" s="84">
        <f t="shared" ca="1" si="41"/>
        <v>-10.159964161413052</v>
      </c>
      <c r="O1332" s="84">
        <f t="shared" si="42"/>
        <v>-5.8608611503705372</v>
      </c>
      <c r="P1332" s="84">
        <f t="shared" ca="1" si="36"/>
        <v>-7.3590849048426614</v>
      </c>
      <c r="Q1332" s="84">
        <f t="shared" si="43"/>
        <v>-6.4804217089917202</v>
      </c>
    </row>
    <row r="1333" spans="10:17" x14ac:dyDescent="0.25">
      <c r="J1333" s="84">
        <f t="shared" ca="1" si="37"/>
        <v>-12.491738112734579</v>
      </c>
      <c r="K1333" s="84">
        <f t="shared" ca="1" si="38"/>
        <v>-11.050860263829124</v>
      </c>
      <c r="L1333" s="84">
        <f t="shared" ca="1" si="39"/>
        <v>-4.9699650479544646</v>
      </c>
      <c r="M1333" s="84">
        <f t="shared" ca="1" si="40"/>
        <v>-8.0104126558917983</v>
      </c>
      <c r="N1333" s="84">
        <f t="shared" ca="1" si="41"/>
        <v>-10.159964161413052</v>
      </c>
      <c r="O1333" s="84">
        <f t="shared" si="42"/>
        <v>-5.8608611503705372</v>
      </c>
      <c r="P1333" s="84">
        <f t="shared" ca="1" si="36"/>
        <v>-7.3590849048426614</v>
      </c>
      <c r="Q1333" s="84">
        <f t="shared" si="43"/>
        <v>-6.4804217089917202</v>
      </c>
    </row>
    <row r="1334" spans="10:17" x14ac:dyDescent="0.25">
      <c r="J1334" s="84">
        <f t="shared" ca="1" si="37"/>
        <v>-12.491738112734579</v>
      </c>
      <c r="K1334" s="84">
        <f t="shared" ca="1" si="38"/>
        <v>-11.050860263829124</v>
      </c>
      <c r="L1334" s="84">
        <f t="shared" ca="1" si="39"/>
        <v>-4.9699650479544646</v>
      </c>
      <c r="M1334" s="84">
        <f t="shared" ca="1" si="40"/>
        <v>-8.0104126558917983</v>
      </c>
      <c r="N1334" s="84">
        <f t="shared" ca="1" si="41"/>
        <v>-10.159964161413052</v>
      </c>
      <c r="O1334" s="84">
        <f t="shared" si="42"/>
        <v>-5.8608611503705372</v>
      </c>
      <c r="P1334" s="84">
        <f t="shared" ca="1" si="36"/>
        <v>-7.3590849048426614</v>
      </c>
      <c r="Q1334" s="84">
        <f t="shared" si="43"/>
        <v>-6.4804217089917202</v>
      </c>
    </row>
    <row r="1335" spans="10:17" x14ac:dyDescent="0.25">
      <c r="J1335" s="84">
        <f t="shared" ca="1" si="37"/>
        <v>-12.491738112734579</v>
      </c>
      <c r="K1335" s="84">
        <f t="shared" ca="1" si="38"/>
        <v>-11.050860263829124</v>
      </c>
      <c r="L1335" s="84">
        <f t="shared" ca="1" si="39"/>
        <v>-4.9699650479544646</v>
      </c>
      <c r="M1335" s="84">
        <f t="shared" ca="1" si="40"/>
        <v>-8.0104126558917983</v>
      </c>
      <c r="N1335" s="84">
        <f t="shared" ca="1" si="41"/>
        <v>-10.159964161413052</v>
      </c>
      <c r="O1335" s="84">
        <f t="shared" si="42"/>
        <v>-5.8608611503705372</v>
      </c>
      <c r="P1335" s="84">
        <f t="shared" ca="1" si="36"/>
        <v>-7.3590849048426614</v>
      </c>
      <c r="Q1335" s="84">
        <f t="shared" si="43"/>
        <v>-6.4804217089917202</v>
      </c>
    </row>
    <row r="1336" spans="10:17" x14ac:dyDescent="0.25">
      <c r="J1336" s="84">
        <f t="shared" ca="1" si="37"/>
        <v>-12.491738112734579</v>
      </c>
      <c r="K1336" s="84">
        <f t="shared" ca="1" si="38"/>
        <v>-11.050860263829124</v>
      </c>
      <c r="L1336" s="84">
        <f t="shared" ca="1" si="39"/>
        <v>-4.9699650479544646</v>
      </c>
      <c r="M1336" s="84">
        <f t="shared" ca="1" si="40"/>
        <v>-8.0104126558917983</v>
      </c>
      <c r="N1336" s="84">
        <f t="shared" ca="1" si="41"/>
        <v>-10.159964161413052</v>
      </c>
      <c r="O1336" s="84">
        <f t="shared" si="42"/>
        <v>-5.8608611503705372</v>
      </c>
      <c r="P1336" s="84">
        <f t="shared" ref="P1336:P1399" ca="1" si="44">$AF$19/$S$19</f>
        <v>-7.3590849048426614</v>
      </c>
      <c r="Q1336" s="84">
        <f t="shared" si="43"/>
        <v>-6.4804217089917202</v>
      </c>
    </row>
    <row r="1337" spans="10:17" x14ac:dyDescent="0.25">
      <c r="J1337" s="84">
        <f t="shared" ref="J1337:J1400" ca="1" si="45">$AF$13/$S$13</f>
        <v>-12.491738112734579</v>
      </c>
      <c r="K1337" s="84">
        <f t="shared" ca="1" si="38"/>
        <v>-11.050860263829124</v>
      </c>
      <c r="L1337" s="84">
        <f t="shared" ca="1" si="39"/>
        <v>-4.9699650479544646</v>
      </c>
      <c r="M1337" s="84">
        <f t="shared" ca="1" si="40"/>
        <v>-8.0104126558917983</v>
      </c>
      <c r="N1337" s="84">
        <f t="shared" ca="1" si="41"/>
        <v>-10.159964161413052</v>
      </c>
      <c r="O1337" s="84">
        <f t="shared" si="42"/>
        <v>-5.8608611503705372</v>
      </c>
      <c r="P1337" s="84">
        <f t="shared" ca="1" si="44"/>
        <v>-7.3590849048426614</v>
      </c>
      <c r="Q1337" s="84">
        <f t="shared" si="43"/>
        <v>-6.4804217089917202</v>
      </c>
    </row>
    <row r="1338" spans="10:17" x14ac:dyDescent="0.25">
      <c r="J1338" s="84">
        <f t="shared" ca="1" si="45"/>
        <v>-12.491738112734579</v>
      </c>
      <c r="K1338" s="84">
        <f t="shared" ca="1" si="38"/>
        <v>-11.050860263829124</v>
      </c>
      <c r="L1338" s="84">
        <f t="shared" ca="1" si="39"/>
        <v>-4.9699650479544646</v>
      </c>
      <c r="M1338" s="84">
        <f t="shared" ca="1" si="40"/>
        <v>-8.0104126558917983</v>
      </c>
      <c r="N1338" s="84">
        <f t="shared" ca="1" si="41"/>
        <v>-10.159964161413052</v>
      </c>
      <c r="O1338" s="84">
        <f t="shared" si="42"/>
        <v>-5.8608611503705372</v>
      </c>
      <c r="P1338" s="84">
        <f t="shared" ca="1" si="44"/>
        <v>-7.3590849048426614</v>
      </c>
      <c r="Q1338" s="84">
        <f t="shared" si="43"/>
        <v>-6.4804217089917202</v>
      </c>
    </row>
    <row r="1339" spans="10:17" x14ac:dyDescent="0.25">
      <c r="J1339" s="84">
        <f t="shared" ca="1" si="45"/>
        <v>-12.491738112734579</v>
      </c>
      <c r="K1339" s="84">
        <f t="shared" ca="1" si="38"/>
        <v>-11.050860263829124</v>
      </c>
      <c r="L1339" s="84">
        <f t="shared" ca="1" si="39"/>
        <v>-4.9699650479544646</v>
      </c>
      <c r="M1339" s="84">
        <f t="shared" ca="1" si="40"/>
        <v>-8.0104126558917983</v>
      </c>
      <c r="N1339" s="84">
        <f t="shared" ca="1" si="41"/>
        <v>-10.159964161413052</v>
      </c>
      <c r="O1339" s="84">
        <f t="shared" si="42"/>
        <v>-5.8608611503705372</v>
      </c>
      <c r="P1339" s="84">
        <f t="shared" ca="1" si="44"/>
        <v>-7.3590849048426614</v>
      </c>
      <c r="Q1339" s="84">
        <f t="shared" si="43"/>
        <v>-6.4804217089917202</v>
      </c>
    </row>
    <row r="1340" spans="10:17" x14ac:dyDescent="0.25">
      <c r="J1340" s="84">
        <f t="shared" ca="1" si="45"/>
        <v>-12.491738112734579</v>
      </c>
      <c r="K1340" s="84">
        <f t="shared" ca="1" si="38"/>
        <v>-11.050860263829124</v>
      </c>
      <c r="L1340" s="84">
        <f t="shared" ca="1" si="39"/>
        <v>-4.9699650479544646</v>
      </c>
      <c r="M1340" s="84">
        <f t="shared" ca="1" si="40"/>
        <v>-8.0104126558917983</v>
      </c>
      <c r="N1340" s="84">
        <f t="shared" ca="1" si="41"/>
        <v>-10.159964161413052</v>
      </c>
      <c r="O1340" s="84">
        <f t="shared" si="42"/>
        <v>-5.8608611503705372</v>
      </c>
      <c r="P1340" s="84">
        <f t="shared" ca="1" si="44"/>
        <v>-7.3590849048426614</v>
      </c>
      <c r="Q1340" s="84">
        <f t="shared" si="43"/>
        <v>-6.4804217089917202</v>
      </c>
    </row>
    <row r="1341" spans="10:17" x14ac:dyDescent="0.25">
      <c r="J1341" s="84">
        <f t="shared" ca="1" si="45"/>
        <v>-12.491738112734579</v>
      </c>
      <c r="K1341" s="84">
        <f t="shared" ca="1" si="38"/>
        <v>-11.050860263829124</v>
      </c>
      <c r="L1341" s="84">
        <f t="shared" ca="1" si="39"/>
        <v>-4.9699650479544646</v>
      </c>
      <c r="M1341" s="84">
        <f t="shared" ca="1" si="40"/>
        <v>-8.0104126558917983</v>
      </c>
      <c r="N1341" s="84">
        <f t="shared" ca="1" si="41"/>
        <v>-10.159964161413052</v>
      </c>
      <c r="O1341" s="84">
        <f t="shared" si="42"/>
        <v>-5.8608611503705372</v>
      </c>
      <c r="P1341" s="84">
        <f t="shared" ca="1" si="44"/>
        <v>-7.3590849048426614</v>
      </c>
      <c r="Q1341" s="84">
        <f t="shared" si="43"/>
        <v>-6.4804217089917202</v>
      </c>
    </row>
    <row r="1342" spans="10:17" x14ac:dyDescent="0.25">
      <c r="J1342" s="84">
        <f t="shared" ca="1" si="45"/>
        <v>-12.491738112734579</v>
      </c>
      <c r="K1342" s="84">
        <f t="shared" ca="1" si="38"/>
        <v>-11.050860263829124</v>
      </c>
      <c r="L1342" s="84">
        <f t="shared" ca="1" si="39"/>
        <v>-4.9699650479544646</v>
      </c>
      <c r="M1342" s="84">
        <f t="shared" ca="1" si="40"/>
        <v>-8.0104126558917983</v>
      </c>
      <c r="N1342" s="84">
        <f t="shared" ca="1" si="41"/>
        <v>-10.159964161413052</v>
      </c>
      <c r="O1342" s="84">
        <f t="shared" si="42"/>
        <v>-5.8608611503705372</v>
      </c>
      <c r="P1342" s="84">
        <f t="shared" ca="1" si="44"/>
        <v>-7.3590849048426614</v>
      </c>
      <c r="Q1342" s="84">
        <f t="shared" si="43"/>
        <v>-6.4804217089917202</v>
      </c>
    </row>
    <row r="1343" spans="10:17" x14ac:dyDescent="0.25">
      <c r="J1343" s="84">
        <f t="shared" ca="1" si="45"/>
        <v>-12.491738112734579</v>
      </c>
      <c r="K1343" s="84">
        <f t="shared" ca="1" si="38"/>
        <v>-11.050860263829124</v>
      </c>
      <c r="L1343" s="84">
        <f t="shared" ca="1" si="39"/>
        <v>-4.9699650479544646</v>
      </c>
      <c r="M1343" s="84">
        <f t="shared" ca="1" si="40"/>
        <v>-8.0104126558917983</v>
      </c>
      <c r="N1343" s="84">
        <f t="shared" ca="1" si="41"/>
        <v>-10.159964161413052</v>
      </c>
      <c r="O1343" s="84">
        <f t="shared" si="42"/>
        <v>-5.8608611503705372</v>
      </c>
      <c r="P1343" s="84">
        <f t="shared" ca="1" si="44"/>
        <v>-7.3590849048426614</v>
      </c>
      <c r="Q1343" s="84">
        <f t="shared" si="43"/>
        <v>-6.4804217089917202</v>
      </c>
    </row>
    <row r="1344" spans="10:17" x14ac:dyDescent="0.25">
      <c r="J1344" s="84">
        <f t="shared" ca="1" si="45"/>
        <v>-12.491738112734579</v>
      </c>
      <c r="K1344" s="84">
        <f t="shared" ca="1" si="38"/>
        <v>-11.050860263829124</v>
      </c>
      <c r="L1344" s="84">
        <f t="shared" ca="1" si="39"/>
        <v>-4.9699650479544646</v>
      </c>
      <c r="M1344" s="84">
        <f t="shared" ca="1" si="40"/>
        <v>-8.0104126558917983</v>
      </c>
      <c r="N1344" s="84">
        <f t="shared" ca="1" si="41"/>
        <v>-10.159964161413052</v>
      </c>
      <c r="O1344" s="84">
        <f t="shared" si="42"/>
        <v>-5.8608611503705372</v>
      </c>
      <c r="P1344" s="84">
        <f t="shared" ca="1" si="44"/>
        <v>-7.3590849048426614</v>
      </c>
      <c r="Q1344" s="84">
        <f t="shared" si="43"/>
        <v>-6.4804217089917202</v>
      </c>
    </row>
    <row r="1345" spans="10:17" x14ac:dyDescent="0.25">
      <c r="J1345" s="84">
        <f t="shared" ca="1" si="45"/>
        <v>-12.491738112734579</v>
      </c>
      <c r="K1345" s="84">
        <f t="shared" ca="1" si="38"/>
        <v>-11.050860263829124</v>
      </c>
      <c r="L1345" s="84">
        <f t="shared" ca="1" si="39"/>
        <v>-4.9699650479544646</v>
      </c>
      <c r="M1345" s="84">
        <f t="shared" ca="1" si="40"/>
        <v>-8.0104126558917983</v>
      </c>
      <c r="N1345" s="84">
        <f t="shared" ca="1" si="41"/>
        <v>-10.159964161413052</v>
      </c>
      <c r="O1345" s="84">
        <f t="shared" si="42"/>
        <v>-5.8608611503705372</v>
      </c>
      <c r="P1345" s="84">
        <f t="shared" ca="1" si="44"/>
        <v>-7.3590849048426614</v>
      </c>
      <c r="Q1345" s="84">
        <f t="shared" si="43"/>
        <v>-6.4804217089917202</v>
      </c>
    </row>
    <row r="1346" spans="10:17" x14ac:dyDescent="0.25">
      <c r="J1346" s="84">
        <f t="shared" ca="1" si="45"/>
        <v>-12.491738112734579</v>
      </c>
      <c r="K1346" s="84">
        <f t="shared" ca="1" si="38"/>
        <v>-11.050860263829124</v>
      </c>
      <c r="L1346" s="84">
        <f t="shared" ca="1" si="39"/>
        <v>-4.9699650479544646</v>
      </c>
      <c r="M1346" s="84">
        <f t="shared" ca="1" si="40"/>
        <v>-8.0104126558917983</v>
      </c>
      <c r="N1346" s="84">
        <f t="shared" ca="1" si="41"/>
        <v>-10.159964161413052</v>
      </c>
      <c r="O1346" s="84">
        <f t="shared" si="42"/>
        <v>-5.8608611503705372</v>
      </c>
      <c r="P1346" s="84">
        <f t="shared" ca="1" si="44"/>
        <v>-7.3590849048426614</v>
      </c>
      <c r="Q1346" s="84">
        <f t="shared" si="43"/>
        <v>-6.4804217089917202</v>
      </c>
    </row>
    <row r="1347" spans="10:17" x14ac:dyDescent="0.25">
      <c r="J1347" s="84">
        <f t="shared" ca="1" si="45"/>
        <v>-12.491738112734579</v>
      </c>
      <c r="K1347" s="84">
        <f t="shared" ca="1" si="38"/>
        <v>-11.050860263829124</v>
      </c>
      <c r="L1347" s="84">
        <f t="shared" ca="1" si="39"/>
        <v>-4.9699650479544646</v>
      </c>
      <c r="M1347" s="84">
        <f t="shared" ca="1" si="40"/>
        <v>-8.0104126558917983</v>
      </c>
      <c r="N1347" s="84">
        <f t="shared" ca="1" si="41"/>
        <v>-10.159964161413052</v>
      </c>
      <c r="O1347" s="84">
        <f t="shared" si="42"/>
        <v>-5.8608611503705372</v>
      </c>
      <c r="P1347" s="84">
        <f t="shared" ca="1" si="44"/>
        <v>-7.3590849048426614</v>
      </c>
      <c r="Q1347" s="84">
        <f t="shared" si="43"/>
        <v>-6.4804217089917202</v>
      </c>
    </row>
    <row r="1348" spans="10:17" x14ac:dyDescent="0.25">
      <c r="J1348" s="84">
        <f t="shared" ca="1" si="45"/>
        <v>-12.491738112734579</v>
      </c>
      <c r="K1348" s="84">
        <f t="shared" ca="1" si="38"/>
        <v>-11.050860263829124</v>
      </c>
      <c r="L1348" s="84">
        <f t="shared" ca="1" si="39"/>
        <v>-4.9699650479544646</v>
      </c>
      <c r="M1348" s="84">
        <f t="shared" ca="1" si="40"/>
        <v>-8.0104126558917983</v>
      </c>
      <c r="N1348" s="84">
        <f t="shared" ca="1" si="41"/>
        <v>-10.159964161413052</v>
      </c>
      <c r="O1348" s="84">
        <f t="shared" si="42"/>
        <v>-5.8608611503705372</v>
      </c>
      <c r="P1348" s="84">
        <f t="shared" ca="1" si="44"/>
        <v>-7.3590849048426614</v>
      </c>
      <c r="Q1348" s="84">
        <f t="shared" si="43"/>
        <v>-6.4804217089917202</v>
      </c>
    </row>
    <row r="1349" spans="10:17" x14ac:dyDescent="0.25">
      <c r="J1349" s="84">
        <f t="shared" ca="1" si="45"/>
        <v>-12.491738112734579</v>
      </c>
      <c r="K1349" s="84">
        <f t="shared" ca="1" si="38"/>
        <v>-11.050860263829124</v>
      </c>
      <c r="L1349" s="84">
        <f t="shared" ca="1" si="39"/>
        <v>-4.9699650479544646</v>
      </c>
      <c r="M1349" s="84">
        <f t="shared" ca="1" si="40"/>
        <v>-8.0104126558917983</v>
      </c>
      <c r="N1349" s="84">
        <f t="shared" ca="1" si="41"/>
        <v>-10.159964161413052</v>
      </c>
      <c r="O1349" s="84">
        <f t="shared" si="42"/>
        <v>-5.8608611503705372</v>
      </c>
      <c r="P1349" s="84">
        <f t="shared" ca="1" si="44"/>
        <v>-7.3590849048426614</v>
      </c>
      <c r="Q1349" s="84">
        <f t="shared" si="43"/>
        <v>-6.4804217089917202</v>
      </c>
    </row>
    <row r="1350" spans="10:17" x14ac:dyDescent="0.25">
      <c r="J1350" s="84">
        <f t="shared" ca="1" si="45"/>
        <v>-12.491738112734579</v>
      </c>
      <c r="K1350" s="84">
        <f t="shared" ca="1" si="38"/>
        <v>-11.050860263829124</v>
      </c>
      <c r="L1350" s="84">
        <f t="shared" ca="1" si="39"/>
        <v>-4.9699650479544646</v>
      </c>
      <c r="M1350" s="84">
        <f t="shared" ca="1" si="40"/>
        <v>-8.0104126558917983</v>
      </c>
      <c r="N1350" s="84">
        <f t="shared" ca="1" si="41"/>
        <v>-10.159964161413052</v>
      </c>
      <c r="O1350" s="84">
        <f t="shared" si="42"/>
        <v>-5.8608611503705372</v>
      </c>
      <c r="P1350" s="84">
        <f t="shared" ca="1" si="44"/>
        <v>-7.3590849048426614</v>
      </c>
      <c r="Q1350" s="84">
        <f t="shared" si="43"/>
        <v>-6.4804217089917202</v>
      </c>
    </row>
    <row r="1351" spans="10:17" x14ac:dyDescent="0.25">
      <c r="J1351" s="84">
        <f t="shared" ca="1" si="45"/>
        <v>-12.491738112734579</v>
      </c>
      <c r="K1351" s="84">
        <f t="shared" ca="1" si="38"/>
        <v>-11.050860263829124</v>
      </c>
      <c r="L1351" s="84">
        <f t="shared" ca="1" si="39"/>
        <v>-4.9699650479544646</v>
      </c>
      <c r="M1351" s="84">
        <f t="shared" ca="1" si="40"/>
        <v>-8.0104126558917983</v>
      </c>
      <c r="N1351" s="84">
        <f t="shared" ca="1" si="41"/>
        <v>-10.159964161413052</v>
      </c>
      <c r="O1351" s="84">
        <f t="shared" si="42"/>
        <v>-5.8608611503705372</v>
      </c>
      <c r="P1351" s="84">
        <f t="shared" ca="1" si="44"/>
        <v>-7.3590849048426614</v>
      </c>
      <c r="Q1351" s="84">
        <f t="shared" si="43"/>
        <v>-6.4804217089917202</v>
      </c>
    </row>
    <row r="1352" spans="10:17" x14ac:dyDescent="0.25">
      <c r="J1352" s="84">
        <f t="shared" ca="1" si="45"/>
        <v>-12.491738112734579</v>
      </c>
      <c r="K1352" s="84">
        <f t="shared" ca="1" si="38"/>
        <v>-11.050860263829124</v>
      </c>
      <c r="L1352" s="84">
        <f t="shared" ca="1" si="39"/>
        <v>-4.9699650479544646</v>
      </c>
      <c r="M1352" s="84">
        <f t="shared" ca="1" si="40"/>
        <v>-8.0104126558917983</v>
      </c>
      <c r="N1352" s="84">
        <f t="shared" ca="1" si="41"/>
        <v>-10.159964161413052</v>
      </c>
      <c r="O1352" s="84">
        <f t="shared" si="42"/>
        <v>-5.8608611503705372</v>
      </c>
      <c r="P1352" s="84">
        <f t="shared" ca="1" si="44"/>
        <v>-7.3590849048426614</v>
      </c>
      <c r="Q1352" s="84">
        <f t="shared" si="43"/>
        <v>-6.4804217089917202</v>
      </c>
    </row>
    <row r="1353" spans="10:17" x14ac:dyDescent="0.25">
      <c r="J1353" s="84">
        <f t="shared" ca="1" si="45"/>
        <v>-12.491738112734579</v>
      </c>
      <c r="K1353" s="84">
        <f t="shared" ca="1" si="38"/>
        <v>-11.050860263829124</v>
      </c>
      <c r="L1353" s="84">
        <f t="shared" ca="1" si="39"/>
        <v>-4.9699650479544646</v>
      </c>
      <c r="M1353" s="84">
        <f t="shared" ca="1" si="40"/>
        <v>-8.0104126558917983</v>
      </c>
      <c r="N1353" s="84">
        <f t="shared" ca="1" si="41"/>
        <v>-10.159964161413052</v>
      </c>
      <c r="O1353" s="84">
        <f t="shared" si="42"/>
        <v>-5.8608611503705372</v>
      </c>
      <c r="P1353" s="84">
        <f t="shared" ca="1" si="44"/>
        <v>-7.3590849048426614</v>
      </c>
      <c r="Q1353" s="84">
        <f t="shared" si="43"/>
        <v>-6.4804217089917202</v>
      </c>
    </row>
    <row r="1354" spans="10:17" x14ac:dyDescent="0.25">
      <c r="J1354" s="84">
        <f t="shared" ca="1" si="45"/>
        <v>-12.491738112734579</v>
      </c>
      <c r="K1354" s="84">
        <f t="shared" ca="1" si="38"/>
        <v>-11.050860263829124</v>
      </c>
      <c r="L1354" s="84">
        <f t="shared" ca="1" si="39"/>
        <v>-4.9699650479544646</v>
      </c>
      <c r="M1354" s="84">
        <f t="shared" ca="1" si="40"/>
        <v>-8.0104126558917983</v>
      </c>
      <c r="N1354" s="84">
        <f t="shared" ca="1" si="41"/>
        <v>-10.159964161413052</v>
      </c>
      <c r="O1354" s="84">
        <f t="shared" si="42"/>
        <v>-5.8608611503705372</v>
      </c>
      <c r="P1354" s="84">
        <f t="shared" ca="1" si="44"/>
        <v>-7.3590849048426614</v>
      </c>
      <c r="Q1354" s="84">
        <f t="shared" si="43"/>
        <v>-6.4804217089917202</v>
      </c>
    </row>
    <row r="1355" spans="10:17" x14ac:dyDescent="0.25">
      <c r="J1355" s="84">
        <f t="shared" ca="1" si="45"/>
        <v>-12.491738112734579</v>
      </c>
      <c r="K1355" s="84">
        <f t="shared" ca="1" si="38"/>
        <v>-11.050860263829124</v>
      </c>
      <c r="L1355" s="84">
        <f t="shared" ca="1" si="39"/>
        <v>-4.9699650479544646</v>
      </c>
      <c r="M1355" s="84">
        <f t="shared" ca="1" si="40"/>
        <v>-8.0104126558917983</v>
      </c>
      <c r="N1355" s="84">
        <f t="shared" ca="1" si="41"/>
        <v>-10.159964161413052</v>
      </c>
      <c r="O1355" s="84">
        <f t="shared" si="42"/>
        <v>-5.8608611503705372</v>
      </c>
      <c r="P1355" s="84">
        <f t="shared" ca="1" si="44"/>
        <v>-7.3590849048426614</v>
      </c>
      <c r="Q1355" s="84">
        <f t="shared" si="43"/>
        <v>-6.4804217089917202</v>
      </c>
    </row>
    <row r="1356" spans="10:17" x14ac:dyDescent="0.25">
      <c r="J1356" s="84">
        <f t="shared" ca="1" si="45"/>
        <v>-12.491738112734579</v>
      </c>
      <c r="K1356" s="84">
        <f t="shared" ca="1" si="38"/>
        <v>-11.050860263829124</v>
      </c>
      <c r="L1356" s="84">
        <f t="shared" ca="1" si="39"/>
        <v>-4.9699650479544646</v>
      </c>
      <c r="M1356" s="84">
        <f t="shared" ca="1" si="40"/>
        <v>-8.0104126558917983</v>
      </c>
      <c r="N1356" s="84">
        <f t="shared" ca="1" si="41"/>
        <v>-10.159964161413052</v>
      </c>
      <c r="O1356" s="84">
        <f t="shared" si="42"/>
        <v>-5.8608611503705372</v>
      </c>
      <c r="P1356" s="84">
        <f t="shared" ca="1" si="44"/>
        <v>-7.3590849048426614</v>
      </c>
      <c r="Q1356" s="84">
        <f t="shared" si="43"/>
        <v>-6.4804217089917202</v>
      </c>
    </row>
    <row r="1357" spans="10:17" x14ac:dyDescent="0.25">
      <c r="J1357" s="84">
        <f t="shared" ca="1" si="45"/>
        <v>-12.491738112734579</v>
      </c>
      <c r="K1357" s="84">
        <f t="shared" ca="1" si="38"/>
        <v>-11.050860263829124</v>
      </c>
      <c r="L1357" s="84">
        <f t="shared" ca="1" si="39"/>
        <v>-4.9699650479544646</v>
      </c>
      <c r="M1357" s="84">
        <f t="shared" ca="1" si="40"/>
        <v>-8.0104126558917983</v>
      </c>
      <c r="N1357" s="84">
        <f t="shared" ca="1" si="41"/>
        <v>-10.159964161413052</v>
      </c>
      <c r="O1357" s="84">
        <f t="shared" si="42"/>
        <v>-5.8608611503705372</v>
      </c>
      <c r="P1357" s="84">
        <f t="shared" ca="1" si="44"/>
        <v>-7.3590849048426614</v>
      </c>
      <c r="Q1357" s="84">
        <f t="shared" si="43"/>
        <v>-6.4804217089917202</v>
      </c>
    </row>
    <row r="1358" spans="10:17" x14ac:dyDescent="0.25">
      <c r="J1358" s="84">
        <f t="shared" ca="1" si="45"/>
        <v>-12.491738112734579</v>
      </c>
      <c r="K1358" s="84">
        <f t="shared" ca="1" si="38"/>
        <v>-11.050860263829124</v>
      </c>
      <c r="L1358" s="84">
        <f t="shared" ca="1" si="39"/>
        <v>-4.9699650479544646</v>
      </c>
      <c r="M1358" s="84">
        <f t="shared" ca="1" si="40"/>
        <v>-8.0104126558917983</v>
      </c>
      <c r="N1358" s="84">
        <f t="shared" ca="1" si="41"/>
        <v>-10.159964161413052</v>
      </c>
      <c r="O1358" s="84">
        <f t="shared" si="42"/>
        <v>-5.8608611503705372</v>
      </c>
      <c r="P1358" s="84">
        <f t="shared" ca="1" si="44"/>
        <v>-7.3590849048426614</v>
      </c>
      <c r="Q1358" s="84">
        <f t="shared" si="43"/>
        <v>-6.4804217089917202</v>
      </c>
    </row>
    <row r="1359" spans="10:17" x14ac:dyDescent="0.25">
      <c r="J1359" s="84">
        <f t="shared" ca="1" si="45"/>
        <v>-12.491738112734579</v>
      </c>
      <c r="K1359" s="84">
        <f t="shared" ca="1" si="38"/>
        <v>-11.050860263829124</v>
      </c>
      <c r="L1359" s="84">
        <f t="shared" ca="1" si="39"/>
        <v>-4.9699650479544646</v>
      </c>
      <c r="M1359" s="84">
        <f t="shared" ca="1" si="40"/>
        <v>-8.0104126558917983</v>
      </c>
      <c r="N1359" s="84">
        <f t="shared" ca="1" si="41"/>
        <v>-10.159964161413052</v>
      </c>
      <c r="O1359" s="84">
        <f t="shared" si="42"/>
        <v>-5.8608611503705372</v>
      </c>
      <c r="P1359" s="84">
        <f t="shared" ca="1" si="44"/>
        <v>-7.3590849048426614</v>
      </c>
      <c r="Q1359" s="84">
        <f t="shared" si="43"/>
        <v>-6.4804217089917202</v>
      </c>
    </row>
    <row r="1360" spans="10:17" x14ac:dyDescent="0.25">
      <c r="J1360" s="84">
        <f t="shared" ca="1" si="45"/>
        <v>-12.491738112734579</v>
      </c>
      <c r="K1360" s="84">
        <f t="shared" ca="1" si="38"/>
        <v>-11.050860263829124</v>
      </c>
      <c r="L1360" s="84">
        <f t="shared" ca="1" si="39"/>
        <v>-4.9699650479544646</v>
      </c>
      <c r="M1360" s="84">
        <f t="shared" ca="1" si="40"/>
        <v>-8.0104126558917983</v>
      </c>
      <c r="N1360" s="84">
        <f t="shared" ca="1" si="41"/>
        <v>-10.159964161413052</v>
      </c>
      <c r="O1360" s="84">
        <f t="shared" si="42"/>
        <v>-5.8608611503705372</v>
      </c>
      <c r="P1360" s="84">
        <f t="shared" ca="1" si="44"/>
        <v>-7.3590849048426614</v>
      </c>
      <c r="Q1360" s="84">
        <f t="shared" si="43"/>
        <v>-6.4804217089917202</v>
      </c>
    </row>
    <row r="1361" spans="10:17" x14ac:dyDescent="0.25">
      <c r="J1361" s="84">
        <f t="shared" ca="1" si="45"/>
        <v>-12.491738112734579</v>
      </c>
      <c r="K1361" s="84">
        <f t="shared" ca="1" si="38"/>
        <v>-11.050860263829124</v>
      </c>
      <c r="L1361" s="84">
        <f t="shared" ca="1" si="39"/>
        <v>-4.9699650479544646</v>
      </c>
      <c r="M1361" s="84">
        <f t="shared" ca="1" si="40"/>
        <v>-8.0104126558917983</v>
      </c>
      <c r="N1361" s="84">
        <f t="shared" ca="1" si="41"/>
        <v>-10.159964161413052</v>
      </c>
      <c r="O1361" s="84">
        <f t="shared" si="42"/>
        <v>-5.8608611503705372</v>
      </c>
      <c r="P1361" s="84">
        <f t="shared" ca="1" si="44"/>
        <v>-7.3590849048426614</v>
      </c>
      <c r="Q1361" s="84">
        <f t="shared" si="43"/>
        <v>-6.4804217089917202</v>
      </c>
    </row>
    <row r="1362" spans="10:17" x14ac:dyDescent="0.25">
      <c r="J1362" s="84">
        <f t="shared" ca="1" si="45"/>
        <v>-12.491738112734579</v>
      </c>
      <c r="K1362" s="84">
        <f t="shared" ca="1" si="38"/>
        <v>-11.050860263829124</v>
      </c>
      <c r="L1362" s="84">
        <f t="shared" ca="1" si="39"/>
        <v>-4.9699650479544646</v>
      </c>
      <c r="M1362" s="84">
        <f t="shared" ca="1" si="40"/>
        <v>-8.0104126558917983</v>
      </c>
      <c r="N1362" s="84">
        <f t="shared" ca="1" si="41"/>
        <v>-10.159964161413052</v>
      </c>
      <c r="O1362" s="84">
        <f t="shared" si="42"/>
        <v>-5.8608611503705372</v>
      </c>
      <c r="P1362" s="84">
        <f t="shared" ca="1" si="44"/>
        <v>-7.3590849048426614</v>
      </c>
      <c r="Q1362" s="84">
        <f t="shared" si="43"/>
        <v>-6.4804217089917202</v>
      </c>
    </row>
    <row r="1363" spans="10:17" x14ac:dyDescent="0.25">
      <c r="J1363" s="84">
        <f t="shared" ca="1" si="45"/>
        <v>-12.491738112734579</v>
      </c>
      <c r="K1363" s="84">
        <f t="shared" ca="1" si="38"/>
        <v>-11.050860263829124</v>
      </c>
      <c r="L1363" s="84">
        <f t="shared" ca="1" si="39"/>
        <v>-4.9699650479544646</v>
      </c>
      <c r="M1363" s="84">
        <f t="shared" ca="1" si="40"/>
        <v>-8.0104126558917983</v>
      </c>
      <c r="N1363" s="84">
        <f t="shared" ca="1" si="41"/>
        <v>-10.159964161413052</v>
      </c>
      <c r="O1363" s="84">
        <f t="shared" si="42"/>
        <v>-5.8608611503705372</v>
      </c>
      <c r="P1363" s="84">
        <f t="shared" ca="1" si="44"/>
        <v>-7.3590849048426614</v>
      </c>
      <c r="Q1363" s="84">
        <f t="shared" si="43"/>
        <v>-6.4804217089917202</v>
      </c>
    </row>
    <row r="1364" spans="10:17" x14ac:dyDescent="0.25">
      <c r="J1364" s="84">
        <f t="shared" ca="1" si="45"/>
        <v>-12.491738112734579</v>
      </c>
      <c r="K1364" s="84">
        <f t="shared" ca="1" si="38"/>
        <v>-11.050860263829124</v>
      </c>
      <c r="L1364" s="84">
        <f t="shared" ca="1" si="39"/>
        <v>-4.9699650479544646</v>
      </c>
      <c r="M1364" s="84">
        <f t="shared" ca="1" si="40"/>
        <v>-8.0104126558917983</v>
      </c>
      <c r="N1364" s="84">
        <f t="shared" ca="1" si="41"/>
        <v>-10.159964161413052</v>
      </c>
      <c r="O1364" s="84">
        <f t="shared" si="42"/>
        <v>-5.8608611503705372</v>
      </c>
      <c r="P1364" s="84">
        <f t="shared" ca="1" si="44"/>
        <v>-7.3590849048426614</v>
      </c>
      <c r="Q1364" s="84">
        <f t="shared" si="43"/>
        <v>-6.4804217089917202</v>
      </c>
    </row>
    <row r="1365" spans="10:17" x14ac:dyDescent="0.25">
      <c r="J1365" s="84">
        <f t="shared" ca="1" si="45"/>
        <v>-12.491738112734579</v>
      </c>
      <c r="K1365" s="84">
        <f t="shared" ca="1" si="38"/>
        <v>-11.050860263829124</v>
      </c>
      <c r="L1365" s="84">
        <f t="shared" ca="1" si="39"/>
        <v>-4.9699650479544646</v>
      </c>
      <c r="M1365" s="84">
        <f t="shared" ca="1" si="40"/>
        <v>-8.0104126558917983</v>
      </c>
      <c r="N1365" s="84">
        <f t="shared" ca="1" si="41"/>
        <v>-10.159964161413052</v>
      </c>
      <c r="O1365" s="84">
        <f t="shared" si="42"/>
        <v>-5.8608611503705372</v>
      </c>
      <c r="P1365" s="84">
        <f t="shared" ca="1" si="44"/>
        <v>-7.3590849048426614</v>
      </c>
      <c r="Q1365" s="84">
        <f t="shared" si="43"/>
        <v>-6.4804217089917202</v>
      </c>
    </row>
    <row r="1366" spans="10:17" x14ac:dyDescent="0.25">
      <c r="J1366" s="84">
        <f t="shared" ca="1" si="45"/>
        <v>-12.491738112734579</v>
      </c>
      <c r="K1366" s="84">
        <f t="shared" ca="1" si="38"/>
        <v>-11.050860263829124</v>
      </c>
      <c r="L1366" s="84">
        <f t="shared" ca="1" si="39"/>
        <v>-4.9699650479544646</v>
      </c>
      <c r="M1366" s="84">
        <f t="shared" ca="1" si="40"/>
        <v>-8.0104126558917983</v>
      </c>
      <c r="N1366" s="84">
        <f t="shared" ca="1" si="41"/>
        <v>-10.159964161413052</v>
      </c>
      <c r="O1366" s="84">
        <f t="shared" si="42"/>
        <v>-5.8608611503705372</v>
      </c>
      <c r="P1366" s="84">
        <f t="shared" ca="1" si="44"/>
        <v>-7.3590849048426614</v>
      </c>
      <c r="Q1366" s="84">
        <f t="shared" si="43"/>
        <v>-6.4804217089917202</v>
      </c>
    </row>
    <row r="1367" spans="10:17" x14ac:dyDescent="0.25">
      <c r="J1367" s="84">
        <f t="shared" ca="1" si="45"/>
        <v>-12.491738112734579</v>
      </c>
      <c r="K1367" s="84">
        <f t="shared" ca="1" si="38"/>
        <v>-11.050860263829124</v>
      </c>
      <c r="L1367" s="84">
        <f t="shared" ca="1" si="39"/>
        <v>-4.9699650479544646</v>
      </c>
      <c r="M1367" s="84">
        <f t="shared" ca="1" si="40"/>
        <v>-8.0104126558917983</v>
      </c>
      <c r="N1367" s="84">
        <f t="shared" ca="1" si="41"/>
        <v>-10.159964161413052</v>
      </c>
      <c r="O1367" s="84">
        <f t="shared" si="42"/>
        <v>-5.8608611503705372</v>
      </c>
      <c r="P1367" s="84">
        <f t="shared" ca="1" si="44"/>
        <v>-7.3590849048426614</v>
      </c>
      <c r="Q1367" s="84">
        <f t="shared" si="43"/>
        <v>-6.4804217089917202</v>
      </c>
    </row>
    <row r="1368" spans="10:17" x14ac:dyDescent="0.25">
      <c r="J1368" s="84">
        <f t="shared" ca="1" si="45"/>
        <v>-12.491738112734579</v>
      </c>
      <c r="K1368" s="84">
        <f t="shared" ca="1" si="38"/>
        <v>-11.050860263829124</v>
      </c>
      <c r="L1368" s="84">
        <f t="shared" ca="1" si="39"/>
        <v>-4.9699650479544646</v>
      </c>
      <c r="M1368" s="84">
        <f t="shared" ca="1" si="40"/>
        <v>-8.0104126558917983</v>
      </c>
      <c r="N1368" s="84">
        <f t="shared" ca="1" si="41"/>
        <v>-10.159964161413052</v>
      </c>
      <c r="O1368" s="84">
        <f t="shared" si="42"/>
        <v>-5.8608611503705372</v>
      </c>
      <c r="P1368" s="84">
        <f t="shared" ca="1" si="44"/>
        <v>-7.3590849048426614</v>
      </c>
      <c r="Q1368" s="84">
        <f t="shared" si="43"/>
        <v>-6.4804217089917202</v>
      </c>
    </row>
    <row r="1369" spans="10:17" x14ac:dyDescent="0.25">
      <c r="J1369" s="84">
        <f t="shared" ca="1" si="45"/>
        <v>-12.491738112734579</v>
      </c>
      <c r="K1369" s="84">
        <f t="shared" ca="1" si="38"/>
        <v>-11.050860263829124</v>
      </c>
      <c r="L1369" s="84">
        <f t="shared" ca="1" si="39"/>
        <v>-4.9699650479544646</v>
      </c>
      <c r="M1369" s="84">
        <f t="shared" ca="1" si="40"/>
        <v>-8.0104126558917983</v>
      </c>
      <c r="N1369" s="84">
        <f t="shared" ca="1" si="41"/>
        <v>-10.159964161413052</v>
      </c>
      <c r="O1369" s="84">
        <f t="shared" si="42"/>
        <v>-5.8608611503705372</v>
      </c>
      <c r="P1369" s="84">
        <f t="shared" ca="1" si="44"/>
        <v>-7.3590849048426614</v>
      </c>
      <c r="Q1369" s="84">
        <f t="shared" si="43"/>
        <v>-6.4804217089917202</v>
      </c>
    </row>
    <row r="1370" spans="10:17" x14ac:dyDescent="0.25">
      <c r="J1370" s="84">
        <f t="shared" ca="1" si="45"/>
        <v>-12.491738112734579</v>
      </c>
      <c r="K1370" s="84">
        <f t="shared" ca="1" si="38"/>
        <v>-11.050860263829124</v>
      </c>
      <c r="L1370" s="84">
        <f t="shared" ca="1" si="39"/>
        <v>-4.9699650479544646</v>
      </c>
      <c r="M1370" s="84">
        <f t="shared" ca="1" si="40"/>
        <v>-8.0104126558917983</v>
      </c>
      <c r="N1370" s="84">
        <f t="shared" ca="1" si="41"/>
        <v>-10.159964161413052</v>
      </c>
      <c r="O1370" s="84">
        <f t="shared" si="42"/>
        <v>-5.8608611503705372</v>
      </c>
      <c r="P1370" s="84">
        <f t="shared" ca="1" si="44"/>
        <v>-7.3590849048426614</v>
      </c>
      <c r="Q1370" s="84">
        <f t="shared" si="43"/>
        <v>-6.4804217089917202</v>
      </c>
    </row>
    <row r="1371" spans="10:17" x14ac:dyDescent="0.25">
      <c r="J1371" s="84">
        <f t="shared" ca="1" si="45"/>
        <v>-12.491738112734579</v>
      </c>
      <c r="K1371" s="84">
        <f t="shared" ca="1" si="38"/>
        <v>-11.050860263829124</v>
      </c>
      <c r="L1371" s="84">
        <f t="shared" ca="1" si="39"/>
        <v>-4.9699650479544646</v>
      </c>
      <c r="M1371" s="84">
        <f t="shared" ca="1" si="40"/>
        <v>-8.0104126558917983</v>
      </c>
      <c r="N1371" s="84">
        <f t="shared" ca="1" si="41"/>
        <v>-10.159964161413052</v>
      </c>
      <c r="O1371" s="84">
        <f t="shared" si="42"/>
        <v>-5.8608611503705372</v>
      </c>
      <c r="P1371" s="84">
        <f t="shared" ca="1" si="44"/>
        <v>-7.3590849048426614</v>
      </c>
      <c r="Q1371" s="84">
        <f t="shared" si="43"/>
        <v>-6.4804217089917202</v>
      </c>
    </row>
    <row r="1372" spans="10:17" x14ac:dyDescent="0.25">
      <c r="J1372" s="84">
        <f t="shared" ca="1" si="45"/>
        <v>-12.491738112734579</v>
      </c>
      <c r="K1372" s="84">
        <f t="shared" ca="1" si="38"/>
        <v>-11.050860263829124</v>
      </c>
      <c r="L1372" s="84">
        <f t="shared" ca="1" si="39"/>
        <v>-4.9699650479544646</v>
      </c>
      <c r="M1372" s="84">
        <f t="shared" ca="1" si="40"/>
        <v>-8.0104126558917983</v>
      </c>
      <c r="N1372" s="84">
        <f t="shared" ca="1" si="41"/>
        <v>-10.159964161413052</v>
      </c>
      <c r="O1372" s="84">
        <f t="shared" si="42"/>
        <v>-5.8608611503705372</v>
      </c>
      <c r="P1372" s="84">
        <f t="shared" ca="1" si="44"/>
        <v>-7.3590849048426614</v>
      </c>
      <c r="Q1372" s="84">
        <f t="shared" si="43"/>
        <v>-6.4804217089917202</v>
      </c>
    </row>
    <row r="1373" spans="10:17" x14ac:dyDescent="0.25">
      <c r="J1373" s="84">
        <f t="shared" ca="1" si="45"/>
        <v>-12.491738112734579</v>
      </c>
      <c r="K1373" s="84">
        <f t="shared" ca="1" si="38"/>
        <v>-11.050860263829124</v>
      </c>
      <c r="L1373" s="84">
        <f t="shared" ca="1" si="39"/>
        <v>-4.9699650479544646</v>
      </c>
      <c r="M1373" s="84">
        <f t="shared" ca="1" si="40"/>
        <v>-8.0104126558917983</v>
      </c>
      <c r="N1373" s="84">
        <f t="shared" ca="1" si="41"/>
        <v>-10.159964161413052</v>
      </c>
      <c r="O1373" s="84">
        <f t="shared" si="42"/>
        <v>-5.8608611503705372</v>
      </c>
      <c r="P1373" s="84">
        <f t="shared" ca="1" si="44"/>
        <v>-7.3590849048426614</v>
      </c>
      <c r="Q1373" s="84">
        <f t="shared" si="43"/>
        <v>-6.4804217089917202</v>
      </c>
    </row>
    <row r="1374" spans="10:17" x14ac:dyDescent="0.25">
      <c r="J1374" s="84">
        <f t="shared" ca="1" si="45"/>
        <v>-12.491738112734579</v>
      </c>
      <c r="K1374" s="84">
        <f t="shared" ca="1" si="38"/>
        <v>-11.050860263829124</v>
      </c>
      <c r="L1374" s="84">
        <f t="shared" ca="1" si="39"/>
        <v>-4.9699650479544646</v>
      </c>
      <c r="M1374" s="84">
        <f t="shared" ca="1" si="40"/>
        <v>-8.0104126558917983</v>
      </c>
      <c r="N1374" s="84">
        <f t="shared" ca="1" si="41"/>
        <v>-10.159964161413052</v>
      </c>
      <c r="O1374" s="84">
        <f t="shared" si="42"/>
        <v>-5.8608611503705372</v>
      </c>
      <c r="P1374" s="84">
        <f t="shared" ca="1" si="44"/>
        <v>-7.3590849048426614</v>
      </c>
      <c r="Q1374" s="84">
        <f t="shared" si="43"/>
        <v>-6.4804217089917202</v>
      </c>
    </row>
    <row r="1375" spans="10:17" x14ac:dyDescent="0.25">
      <c r="J1375" s="84">
        <f t="shared" ca="1" si="45"/>
        <v>-12.491738112734579</v>
      </c>
      <c r="K1375" s="84">
        <f t="shared" ca="1" si="38"/>
        <v>-11.050860263829124</v>
      </c>
      <c r="L1375" s="84">
        <f t="shared" ca="1" si="39"/>
        <v>-4.9699650479544646</v>
      </c>
      <c r="M1375" s="84">
        <f t="shared" ca="1" si="40"/>
        <v>-8.0104126558917983</v>
      </c>
      <c r="N1375" s="84">
        <f t="shared" ca="1" si="41"/>
        <v>-10.159964161413052</v>
      </c>
      <c r="O1375" s="84">
        <f t="shared" si="42"/>
        <v>-5.8608611503705372</v>
      </c>
      <c r="P1375" s="84">
        <f t="shared" ca="1" si="44"/>
        <v>-7.3590849048426614</v>
      </c>
      <c r="Q1375" s="84">
        <f t="shared" si="43"/>
        <v>-6.4804217089917202</v>
      </c>
    </row>
    <row r="1376" spans="10:17" x14ac:dyDescent="0.25">
      <c r="J1376" s="84">
        <f t="shared" ca="1" si="45"/>
        <v>-12.491738112734579</v>
      </c>
      <c r="K1376" s="84">
        <f t="shared" ca="1" si="38"/>
        <v>-11.050860263829124</v>
      </c>
      <c r="L1376" s="84">
        <f t="shared" ca="1" si="39"/>
        <v>-4.9699650479544646</v>
      </c>
      <c r="M1376" s="84">
        <f t="shared" ca="1" si="40"/>
        <v>-8.0104126558917983</v>
      </c>
      <c r="N1376" s="84">
        <f t="shared" ca="1" si="41"/>
        <v>-10.159964161413052</v>
      </c>
      <c r="O1376" s="84">
        <f t="shared" si="42"/>
        <v>-5.8608611503705372</v>
      </c>
      <c r="P1376" s="84">
        <f t="shared" ca="1" si="44"/>
        <v>-7.3590849048426614</v>
      </c>
      <c r="Q1376" s="84">
        <f t="shared" si="43"/>
        <v>-6.4804217089917202</v>
      </c>
    </row>
    <row r="1377" spans="10:17" x14ac:dyDescent="0.25">
      <c r="J1377" s="84">
        <f t="shared" ca="1" si="45"/>
        <v>-12.491738112734579</v>
      </c>
      <c r="K1377" s="84">
        <f t="shared" ca="1" si="38"/>
        <v>-11.050860263829124</v>
      </c>
      <c r="L1377" s="84">
        <f t="shared" ca="1" si="39"/>
        <v>-4.9699650479544646</v>
      </c>
      <c r="M1377" s="84">
        <f t="shared" ca="1" si="40"/>
        <v>-8.0104126558917983</v>
      </c>
      <c r="N1377" s="84">
        <f t="shared" ca="1" si="41"/>
        <v>-10.159964161413052</v>
      </c>
      <c r="O1377" s="84">
        <f t="shared" si="42"/>
        <v>-5.8608611503705372</v>
      </c>
      <c r="P1377" s="84">
        <f t="shared" ca="1" si="44"/>
        <v>-7.3590849048426614</v>
      </c>
      <c r="Q1377" s="84">
        <f t="shared" si="43"/>
        <v>-6.4804217089917202</v>
      </c>
    </row>
    <row r="1378" spans="10:17" x14ac:dyDescent="0.25">
      <c r="J1378" s="84">
        <f t="shared" ca="1" si="45"/>
        <v>-12.491738112734579</v>
      </c>
      <c r="K1378" s="84">
        <f t="shared" ca="1" si="38"/>
        <v>-11.050860263829124</v>
      </c>
      <c r="L1378" s="84">
        <f t="shared" ca="1" si="39"/>
        <v>-4.9699650479544646</v>
      </c>
      <c r="M1378" s="84">
        <f t="shared" ca="1" si="40"/>
        <v>-8.0104126558917983</v>
      </c>
      <c r="N1378" s="84">
        <f t="shared" ca="1" si="41"/>
        <v>-10.159964161413052</v>
      </c>
      <c r="O1378" s="84">
        <f t="shared" si="42"/>
        <v>-5.8608611503705372</v>
      </c>
      <c r="P1378" s="84">
        <f t="shared" ca="1" si="44"/>
        <v>-7.3590849048426614</v>
      </c>
      <c r="Q1378" s="84">
        <f t="shared" si="43"/>
        <v>-6.4804217089917202</v>
      </c>
    </row>
    <row r="1379" spans="10:17" x14ac:dyDescent="0.25">
      <c r="J1379" s="84">
        <f t="shared" ca="1" si="45"/>
        <v>-12.491738112734579</v>
      </c>
      <c r="K1379" s="84">
        <f t="shared" ca="1" si="38"/>
        <v>-11.050860263829124</v>
      </c>
      <c r="L1379" s="84">
        <f t="shared" ca="1" si="39"/>
        <v>-4.9699650479544646</v>
      </c>
      <c r="M1379" s="84">
        <f t="shared" ca="1" si="40"/>
        <v>-8.0104126558917983</v>
      </c>
      <c r="N1379" s="84">
        <f t="shared" ca="1" si="41"/>
        <v>-10.159964161413052</v>
      </c>
      <c r="O1379" s="84">
        <f t="shared" si="42"/>
        <v>-5.8608611503705372</v>
      </c>
      <c r="P1379" s="84">
        <f t="shared" ca="1" si="44"/>
        <v>-7.3590849048426614</v>
      </c>
      <c r="Q1379" s="84">
        <f t="shared" si="43"/>
        <v>-6.4804217089917202</v>
      </c>
    </row>
    <row r="1380" spans="10:17" x14ac:dyDescent="0.25">
      <c r="J1380" s="84">
        <f t="shared" ca="1" si="45"/>
        <v>-12.491738112734579</v>
      </c>
      <c r="K1380" s="84">
        <f t="shared" ca="1" si="38"/>
        <v>-11.050860263829124</v>
      </c>
      <c r="L1380" s="84">
        <f t="shared" ca="1" si="39"/>
        <v>-4.9699650479544646</v>
      </c>
      <c r="M1380" s="84">
        <f t="shared" ca="1" si="40"/>
        <v>-8.0104126558917983</v>
      </c>
      <c r="N1380" s="84">
        <f t="shared" ca="1" si="41"/>
        <v>-10.159964161413052</v>
      </c>
      <c r="O1380" s="84">
        <f t="shared" si="42"/>
        <v>-5.8608611503705372</v>
      </c>
      <c r="P1380" s="84">
        <f t="shared" ca="1" si="44"/>
        <v>-7.3590849048426614</v>
      </c>
      <c r="Q1380" s="84">
        <f t="shared" si="43"/>
        <v>-6.4804217089917202</v>
      </c>
    </row>
    <row r="1381" spans="10:17" x14ac:dyDescent="0.25">
      <c r="J1381" s="84">
        <f t="shared" ca="1" si="45"/>
        <v>-12.491738112734579</v>
      </c>
      <c r="K1381" s="84">
        <f t="shared" ca="1" si="38"/>
        <v>-11.050860263829124</v>
      </c>
      <c r="L1381" s="84">
        <f t="shared" ca="1" si="39"/>
        <v>-4.9699650479544646</v>
      </c>
      <c r="M1381" s="84">
        <f t="shared" ca="1" si="40"/>
        <v>-8.0104126558917983</v>
      </c>
      <c r="N1381" s="84">
        <f t="shared" ca="1" si="41"/>
        <v>-10.159964161413052</v>
      </c>
      <c r="O1381" s="84">
        <f t="shared" si="42"/>
        <v>-5.8608611503705372</v>
      </c>
      <c r="P1381" s="84">
        <f t="shared" ca="1" si="44"/>
        <v>-7.3590849048426614</v>
      </c>
      <c r="Q1381" s="84">
        <f t="shared" si="43"/>
        <v>-6.4804217089917202</v>
      </c>
    </row>
    <row r="1382" spans="10:17" x14ac:dyDescent="0.25">
      <c r="J1382" s="84">
        <f t="shared" ca="1" si="45"/>
        <v>-12.491738112734579</v>
      </c>
      <c r="K1382" s="84">
        <f t="shared" ca="1" si="38"/>
        <v>-11.050860263829124</v>
      </c>
      <c r="L1382" s="84">
        <f t="shared" ca="1" si="39"/>
        <v>-4.9699650479544646</v>
      </c>
      <c r="M1382" s="84">
        <f t="shared" ca="1" si="40"/>
        <v>-8.0104126558917983</v>
      </c>
      <c r="N1382" s="84">
        <f t="shared" ca="1" si="41"/>
        <v>-10.159964161413052</v>
      </c>
      <c r="O1382" s="84">
        <f t="shared" si="42"/>
        <v>-5.8608611503705372</v>
      </c>
      <c r="P1382" s="84">
        <f t="shared" ca="1" si="44"/>
        <v>-7.3590849048426614</v>
      </c>
      <c r="Q1382" s="84">
        <f t="shared" si="43"/>
        <v>-6.4804217089917202</v>
      </c>
    </row>
    <row r="1383" spans="10:17" x14ac:dyDescent="0.25">
      <c r="J1383" s="84">
        <f t="shared" ca="1" si="45"/>
        <v>-12.491738112734579</v>
      </c>
      <c r="K1383" s="84">
        <f t="shared" ca="1" si="38"/>
        <v>-11.050860263829124</v>
      </c>
      <c r="L1383" s="84">
        <f t="shared" ca="1" si="39"/>
        <v>-4.9699650479544646</v>
      </c>
      <c r="M1383" s="84">
        <f t="shared" ca="1" si="40"/>
        <v>-8.0104126558917983</v>
      </c>
      <c r="N1383" s="84">
        <f t="shared" ca="1" si="41"/>
        <v>-10.159964161413052</v>
      </c>
      <c r="O1383" s="84">
        <f t="shared" si="42"/>
        <v>-5.8608611503705372</v>
      </c>
      <c r="P1383" s="84">
        <f t="shared" ca="1" si="44"/>
        <v>-7.3590849048426614</v>
      </c>
      <c r="Q1383" s="84">
        <f t="shared" si="43"/>
        <v>-6.4804217089917202</v>
      </c>
    </row>
    <row r="1384" spans="10:17" x14ac:dyDescent="0.25">
      <c r="J1384" s="84">
        <f t="shared" ca="1" si="45"/>
        <v>-12.491738112734579</v>
      </c>
      <c r="K1384" s="84">
        <f t="shared" ca="1" si="38"/>
        <v>-11.050860263829124</v>
      </c>
      <c r="L1384" s="84">
        <f t="shared" ca="1" si="39"/>
        <v>-4.9699650479544646</v>
      </c>
      <c r="M1384" s="84">
        <f t="shared" ca="1" si="40"/>
        <v>-8.0104126558917983</v>
      </c>
      <c r="N1384" s="84">
        <f t="shared" ca="1" si="41"/>
        <v>-10.159964161413052</v>
      </c>
      <c r="O1384" s="84">
        <f t="shared" si="42"/>
        <v>-5.8608611503705372</v>
      </c>
      <c r="P1384" s="84">
        <f t="shared" ca="1" si="44"/>
        <v>-7.3590849048426614</v>
      </c>
      <c r="Q1384" s="84">
        <f t="shared" si="43"/>
        <v>-6.4804217089917202</v>
      </c>
    </row>
    <row r="1385" spans="10:17" x14ac:dyDescent="0.25">
      <c r="J1385" s="84">
        <f t="shared" ca="1" si="45"/>
        <v>-12.491738112734579</v>
      </c>
      <c r="K1385" s="84">
        <f t="shared" ca="1" si="38"/>
        <v>-11.050860263829124</v>
      </c>
      <c r="L1385" s="84">
        <f t="shared" ca="1" si="39"/>
        <v>-4.9699650479544646</v>
      </c>
      <c r="M1385" s="84">
        <f t="shared" ca="1" si="40"/>
        <v>-8.0104126558917983</v>
      </c>
      <c r="N1385" s="84">
        <f t="shared" ca="1" si="41"/>
        <v>-10.159964161413052</v>
      </c>
      <c r="O1385" s="84">
        <f t="shared" si="42"/>
        <v>-5.8608611503705372</v>
      </c>
      <c r="P1385" s="84">
        <f t="shared" ca="1" si="44"/>
        <v>-7.3590849048426614</v>
      </c>
      <c r="Q1385" s="84">
        <f t="shared" si="43"/>
        <v>-6.4804217089917202</v>
      </c>
    </row>
    <row r="1386" spans="10:17" x14ac:dyDescent="0.25">
      <c r="J1386" s="84">
        <f t="shared" ca="1" si="45"/>
        <v>-12.491738112734579</v>
      </c>
      <c r="K1386" s="84">
        <f t="shared" ca="1" si="38"/>
        <v>-11.050860263829124</v>
      </c>
      <c r="L1386" s="84">
        <f t="shared" ca="1" si="39"/>
        <v>-4.9699650479544646</v>
      </c>
      <c r="M1386" s="84">
        <f t="shared" ca="1" si="40"/>
        <v>-8.0104126558917983</v>
      </c>
      <c r="N1386" s="84">
        <f t="shared" ca="1" si="41"/>
        <v>-10.159964161413052</v>
      </c>
      <c r="O1386" s="84">
        <f t="shared" si="42"/>
        <v>-5.8608611503705372</v>
      </c>
      <c r="P1386" s="84">
        <f t="shared" ca="1" si="44"/>
        <v>-7.3590849048426614</v>
      </c>
      <c r="Q1386" s="84">
        <f t="shared" si="43"/>
        <v>-6.4804217089917202</v>
      </c>
    </row>
    <row r="1387" spans="10:17" x14ac:dyDescent="0.25">
      <c r="J1387" s="84">
        <f t="shared" ca="1" si="45"/>
        <v>-12.491738112734579</v>
      </c>
      <c r="K1387" s="84">
        <f t="shared" ca="1" si="38"/>
        <v>-11.050860263829124</v>
      </c>
      <c r="L1387" s="84">
        <f t="shared" ca="1" si="39"/>
        <v>-4.9699650479544646</v>
      </c>
      <c r="M1387" s="84">
        <f t="shared" ca="1" si="40"/>
        <v>-8.0104126558917983</v>
      </c>
      <c r="N1387" s="84">
        <f t="shared" ca="1" si="41"/>
        <v>-10.159964161413052</v>
      </c>
      <c r="O1387" s="84">
        <f t="shared" si="42"/>
        <v>-5.8608611503705372</v>
      </c>
      <c r="P1387" s="84">
        <f t="shared" ca="1" si="44"/>
        <v>-7.3590849048426614</v>
      </c>
      <c r="Q1387" s="84">
        <f t="shared" si="43"/>
        <v>-6.4804217089917202</v>
      </c>
    </row>
    <row r="1388" spans="10:17" x14ac:dyDescent="0.25">
      <c r="J1388" s="84">
        <f t="shared" ca="1" si="45"/>
        <v>-12.491738112734579</v>
      </c>
      <c r="K1388" s="84">
        <f t="shared" ref="K1388:K1443" ca="1" si="46">$AF$14-B1389</f>
        <v>-11.050860263829124</v>
      </c>
      <c r="L1388" s="84">
        <f t="shared" ref="L1388:L1443" ca="1" si="47">-0.5*B1389-$AF$15</f>
        <v>-4.9699650479544646</v>
      </c>
      <c r="M1388" s="84">
        <f t="shared" ref="M1388:M1443" ca="1" si="48">-0.75*B1389-$AF$16</f>
        <v>-8.0104126558917983</v>
      </c>
      <c r="N1388" s="84">
        <f t="shared" ref="N1388:N1443" ca="1" si="49">-B1389-$AF$17</f>
        <v>-10.159964161413052</v>
      </c>
      <c r="O1388" s="84">
        <f t="shared" ref="O1388:O1443" si="50">(-0.25*B1389-$AF$18)/0.5</f>
        <v>-5.8608611503705372</v>
      </c>
      <c r="P1388" s="84">
        <f t="shared" ca="1" si="44"/>
        <v>-7.3590849048426614</v>
      </c>
      <c r="Q1388" s="84">
        <f t="shared" ref="Q1388:Q1443" si="51">-0.5*B1389-$AF$20</f>
        <v>-6.4804217089917202</v>
      </c>
    </row>
    <row r="1389" spans="10:17" x14ac:dyDescent="0.25">
      <c r="J1389" s="84">
        <f t="shared" ca="1" si="45"/>
        <v>-12.491738112734579</v>
      </c>
      <c r="K1389" s="84">
        <f t="shared" ca="1" si="46"/>
        <v>-11.050860263829124</v>
      </c>
      <c r="L1389" s="84">
        <f t="shared" ca="1" si="47"/>
        <v>-4.9699650479544646</v>
      </c>
      <c r="M1389" s="84">
        <f t="shared" ca="1" si="48"/>
        <v>-8.0104126558917983</v>
      </c>
      <c r="N1389" s="84">
        <f t="shared" ca="1" si="49"/>
        <v>-10.159964161413052</v>
      </c>
      <c r="O1389" s="84">
        <f t="shared" si="50"/>
        <v>-5.8608611503705372</v>
      </c>
      <c r="P1389" s="84">
        <f t="shared" ca="1" si="44"/>
        <v>-7.3590849048426614</v>
      </c>
      <c r="Q1389" s="84">
        <f t="shared" si="51"/>
        <v>-6.4804217089917202</v>
      </c>
    </row>
    <row r="1390" spans="10:17" x14ac:dyDescent="0.25">
      <c r="J1390" s="84">
        <f t="shared" ca="1" si="45"/>
        <v>-12.491738112734579</v>
      </c>
      <c r="K1390" s="84">
        <f t="shared" ca="1" si="46"/>
        <v>-11.050860263829124</v>
      </c>
      <c r="L1390" s="84">
        <f t="shared" ca="1" si="47"/>
        <v>-4.9699650479544646</v>
      </c>
      <c r="M1390" s="84">
        <f t="shared" ca="1" si="48"/>
        <v>-8.0104126558917983</v>
      </c>
      <c r="N1390" s="84">
        <f t="shared" ca="1" si="49"/>
        <v>-10.159964161413052</v>
      </c>
      <c r="O1390" s="84">
        <f t="shared" si="50"/>
        <v>-5.8608611503705372</v>
      </c>
      <c r="P1390" s="84">
        <f t="shared" ca="1" si="44"/>
        <v>-7.3590849048426614</v>
      </c>
      <c r="Q1390" s="84">
        <f t="shared" si="51"/>
        <v>-6.4804217089917202</v>
      </c>
    </row>
    <row r="1391" spans="10:17" x14ac:dyDescent="0.25">
      <c r="J1391" s="84">
        <f t="shared" ca="1" si="45"/>
        <v>-12.491738112734579</v>
      </c>
      <c r="K1391" s="84">
        <f t="shared" ca="1" si="46"/>
        <v>-11.050860263829124</v>
      </c>
      <c r="L1391" s="84">
        <f t="shared" ca="1" si="47"/>
        <v>-4.9699650479544646</v>
      </c>
      <c r="M1391" s="84">
        <f t="shared" ca="1" si="48"/>
        <v>-8.0104126558917983</v>
      </c>
      <c r="N1391" s="84">
        <f t="shared" ca="1" si="49"/>
        <v>-10.159964161413052</v>
      </c>
      <c r="O1391" s="84">
        <f t="shared" si="50"/>
        <v>-5.8608611503705372</v>
      </c>
      <c r="P1391" s="84">
        <f t="shared" ca="1" si="44"/>
        <v>-7.3590849048426614</v>
      </c>
      <c r="Q1391" s="84">
        <f t="shared" si="51"/>
        <v>-6.4804217089917202</v>
      </c>
    </row>
    <row r="1392" spans="10:17" x14ac:dyDescent="0.25">
      <c r="J1392" s="84">
        <f t="shared" ca="1" si="45"/>
        <v>-12.491738112734579</v>
      </c>
      <c r="K1392" s="84">
        <f t="shared" ca="1" si="46"/>
        <v>-11.050860263829124</v>
      </c>
      <c r="L1392" s="84">
        <f t="shared" ca="1" si="47"/>
        <v>-4.9699650479544646</v>
      </c>
      <c r="M1392" s="84">
        <f t="shared" ca="1" si="48"/>
        <v>-8.0104126558917983</v>
      </c>
      <c r="N1392" s="84">
        <f t="shared" ca="1" si="49"/>
        <v>-10.159964161413052</v>
      </c>
      <c r="O1392" s="84">
        <f t="shared" si="50"/>
        <v>-5.8608611503705372</v>
      </c>
      <c r="P1392" s="84">
        <f t="shared" ca="1" si="44"/>
        <v>-7.3590849048426614</v>
      </c>
      <c r="Q1392" s="84">
        <f t="shared" si="51"/>
        <v>-6.4804217089917202</v>
      </c>
    </row>
    <row r="1393" spans="10:17" x14ac:dyDescent="0.25">
      <c r="J1393" s="84">
        <f t="shared" ca="1" si="45"/>
        <v>-12.491738112734579</v>
      </c>
      <c r="K1393" s="84">
        <f t="shared" ca="1" si="46"/>
        <v>-11.050860263829124</v>
      </c>
      <c r="L1393" s="84">
        <f t="shared" ca="1" si="47"/>
        <v>-4.9699650479544646</v>
      </c>
      <c r="M1393" s="84">
        <f t="shared" ca="1" si="48"/>
        <v>-8.0104126558917983</v>
      </c>
      <c r="N1393" s="84">
        <f t="shared" ca="1" si="49"/>
        <v>-10.159964161413052</v>
      </c>
      <c r="O1393" s="84">
        <f t="shared" si="50"/>
        <v>-5.8608611503705372</v>
      </c>
      <c r="P1393" s="84">
        <f t="shared" ca="1" si="44"/>
        <v>-7.3590849048426614</v>
      </c>
      <c r="Q1393" s="84">
        <f t="shared" si="51"/>
        <v>-6.4804217089917202</v>
      </c>
    </row>
    <row r="1394" spans="10:17" x14ac:dyDescent="0.25">
      <c r="J1394" s="84">
        <f t="shared" ca="1" si="45"/>
        <v>-12.491738112734579</v>
      </c>
      <c r="K1394" s="84">
        <f t="shared" ca="1" si="46"/>
        <v>-11.050860263829124</v>
      </c>
      <c r="L1394" s="84">
        <f t="shared" ca="1" si="47"/>
        <v>-4.9699650479544646</v>
      </c>
      <c r="M1394" s="84">
        <f t="shared" ca="1" si="48"/>
        <v>-8.0104126558917983</v>
      </c>
      <c r="N1394" s="84">
        <f t="shared" ca="1" si="49"/>
        <v>-10.159964161413052</v>
      </c>
      <c r="O1394" s="84">
        <f t="shared" si="50"/>
        <v>-5.8608611503705372</v>
      </c>
      <c r="P1394" s="84">
        <f t="shared" ca="1" si="44"/>
        <v>-7.3590849048426614</v>
      </c>
      <c r="Q1394" s="84">
        <f t="shared" si="51"/>
        <v>-6.4804217089917202</v>
      </c>
    </row>
    <row r="1395" spans="10:17" x14ac:dyDescent="0.25">
      <c r="J1395" s="84">
        <f t="shared" ca="1" si="45"/>
        <v>-12.491738112734579</v>
      </c>
      <c r="K1395" s="84">
        <f t="shared" ca="1" si="46"/>
        <v>-11.050860263829124</v>
      </c>
      <c r="L1395" s="84">
        <f t="shared" ca="1" si="47"/>
        <v>-4.9699650479544646</v>
      </c>
      <c r="M1395" s="84">
        <f t="shared" ca="1" si="48"/>
        <v>-8.0104126558917983</v>
      </c>
      <c r="N1395" s="84">
        <f t="shared" ca="1" si="49"/>
        <v>-10.159964161413052</v>
      </c>
      <c r="O1395" s="84">
        <f t="shared" si="50"/>
        <v>-5.8608611503705372</v>
      </c>
      <c r="P1395" s="84">
        <f t="shared" ca="1" si="44"/>
        <v>-7.3590849048426614</v>
      </c>
      <c r="Q1395" s="84">
        <f t="shared" si="51"/>
        <v>-6.4804217089917202</v>
      </c>
    </row>
    <row r="1396" spans="10:17" x14ac:dyDescent="0.25">
      <c r="J1396" s="84">
        <f t="shared" ca="1" si="45"/>
        <v>-12.491738112734579</v>
      </c>
      <c r="K1396" s="84">
        <f t="shared" ca="1" si="46"/>
        <v>-11.050860263829124</v>
      </c>
      <c r="L1396" s="84">
        <f t="shared" ca="1" si="47"/>
        <v>-4.9699650479544646</v>
      </c>
      <c r="M1396" s="84">
        <f t="shared" ca="1" si="48"/>
        <v>-8.0104126558917983</v>
      </c>
      <c r="N1396" s="84">
        <f t="shared" ca="1" si="49"/>
        <v>-10.159964161413052</v>
      </c>
      <c r="O1396" s="84">
        <f t="shared" si="50"/>
        <v>-5.8608611503705372</v>
      </c>
      <c r="P1396" s="84">
        <f t="shared" ca="1" si="44"/>
        <v>-7.3590849048426614</v>
      </c>
      <c r="Q1396" s="84">
        <f t="shared" si="51"/>
        <v>-6.4804217089917202</v>
      </c>
    </row>
    <row r="1397" spans="10:17" x14ac:dyDescent="0.25">
      <c r="J1397" s="84">
        <f t="shared" ca="1" si="45"/>
        <v>-12.491738112734579</v>
      </c>
      <c r="K1397" s="84">
        <f t="shared" ca="1" si="46"/>
        <v>-11.050860263829124</v>
      </c>
      <c r="L1397" s="84">
        <f t="shared" ca="1" si="47"/>
        <v>-4.9699650479544646</v>
      </c>
      <c r="M1397" s="84">
        <f t="shared" ca="1" si="48"/>
        <v>-8.0104126558917983</v>
      </c>
      <c r="N1397" s="84">
        <f t="shared" ca="1" si="49"/>
        <v>-10.159964161413052</v>
      </c>
      <c r="O1397" s="84">
        <f t="shared" si="50"/>
        <v>-5.8608611503705372</v>
      </c>
      <c r="P1397" s="84">
        <f t="shared" ca="1" si="44"/>
        <v>-7.3590849048426614</v>
      </c>
      <c r="Q1397" s="84">
        <f t="shared" si="51"/>
        <v>-6.4804217089917202</v>
      </c>
    </row>
    <row r="1398" spans="10:17" x14ac:dyDescent="0.25">
      <c r="J1398" s="84">
        <f t="shared" ca="1" si="45"/>
        <v>-12.491738112734579</v>
      </c>
      <c r="K1398" s="84">
        <f t="shared" ca="1" si="46"/>
        <v>-11.050860263829124</v>
      </c>
      <c r="L1398" s="84">
        <f t="shared" ca="1" si="47"/>
        <v>-4.9699650479544646</v>
      </c>
      <c r="M1398" s="84">
        <f t="shared" ca="1" si="48"/>
        <v>-8.0104126558917983</v>
      </c>
      <c r="N1398" s="84">
        <f t="shared" ca="1" si="49"/>
        <v>-10.159964161413052</v>
      </c>
      <c r="O1398" s="84">
        <f t="shared" si="50"/>
        <v>-5.8608611503705372</v>
      </c>
      <c r="P1398" s="84">
        <f t="shared" ca="1" si="44"/>
        <v>-7.3590849048426614</v>
      </c>
      <c r="Q1398" s="84">
        <f t="shared" si="51"/>
        <v>-6.4804217089917202</v>
      </c>
    </row>
    <row r="1399" spans="10:17" x14ac:dyDescent="0.25">
      <c r="J1399" s="84">
        <f t="shared" ca="1" si="45"/>
        <v>-12.491738112734579</v>
      </c>
      <c r="K1399" s="84">
        <f t="shared" ca="1" si="46"/>
        <v>-11.050860263829124</v>
      </c>
      <c r="L1399" s="84">
        <f t="shared" ca="1" si="47"/>
        <v>-4.9699650479544646</v>
      </c>
      <c r="M1399" s="84">
        <f t="shared" ca="1" si="48"/>
        <v>-8.0104126558917983</v>
      </c>
      <c r="N1399" s="84">
        <f t="shared" ca="1" si="49"/>
        <v>-10.159964161413052</v>
      </c>
      <c r="O1399" s="84">
        <f t="shared" si="50"/>
        <v>-5.8608611503705372</v>
      </c>
      <c r="P1399" s="84">
        <f t="shared" ca="1" si="44"/>
        <v>-7.3590849048426614</v>
      </c>
      <c r="Q1399" s="84">
        <f t="shared" si="51"/>
        <v>-6.4804217089917202</v>
      </c>
    </row>
    <row r="1400" spans="10:17" x14ac:dyDescent="0.25">
      <c r="J1400" s="84">
        <f t="shared" ca="1" si="45"/>
        <v>-12.491738112734579</v>
      </c>
      <c r="K1400" s="84">
        <f t="shared" ca="1" si="46"/>
        <v>-11.050860263829124</v>
      </c>
      <c r="L1400" s="84">
        <f t="shared" ca="1" si="47"/>
        <v>-4.9699650479544646</v>
      </c>
      <c r="M1400" s="84">
        <f t="shared" ca="1" si="48"/>
        <v>-8.0104126558917983</v>
      </c>
      <c r="N1400" s="84">
        <f t="shared" ca="1" si="49"/>
        <v>-10.159964161413052</v>
      </c>
      <c r="O1400" s="84">
        <f t="shared" si="50"/>
        <v>-5.8608611503705372</v>
      </c>
      <c r="P1400" s="84">
        <f t="shared" ref="P1400:P1443" ca="1" si="52">$AF$19/$S$19</f>
        <v>-7.3590849048426614</v>
      </c>
      <c r="Q1400" s="84">
        <f t="shared" si="51"/>
        <v>-6.4804217089917202</v>
      </c>
    </row>
    <row r="1401" spans="10:17" x14ac:dyDescent="0.25">
      <c r="J1401" s="84">
        <f t="shared" ref="J1401:J1444" ca="1" si="53">$AF$13/$S$13</f>
        <v>-12.491738112734579</v>
      </c>
      <c r="K1401" s="84">
        <f t="shared" ca="1" si="46"/>
        <v>-11.050860263829124</v>
      </c>
      <c r="L1401" s="84">
        <f t="shared" ca="1" si="47"/>
        <v>-4.9699650479544646</v>
      </c>
      <c r="M1401" s="84">
        <f t="shared" ca="1" si="48"/>
        <v>-8.0104126558917983</v>
      </c>
      <c r="N1401" s="84">
        <f t="shared" ca="1" si="49"/>
        <v>-10.159964161413052</v>
      </c>
      <c r="O1401" s="84">
        <f t="shared" si="50"/>
        <v>-5.8608611503705372</v>
      </c>
      <c r="P1401" s="84">
        <f t="shared" ca="1" si="52"/>
        <v>-7.3590849048426614</v>
      </c>
      <c r="Q1401" s="84">
        <f t="shared" si="51"/>
        <v>-6.4804217089917202</v>
      </c>
    </row>
    <row r="1402" spans="10:17" x14ac:dyDescent="0.25">
      <c r="J1402" s="84">
        <f t="shared" ca="1" si="53"/>
        <v>-12.491738112734579</v>
      </c>
      <c r="K1402" s="84">
        <f t="shared" ca="1" si="46"/>
        <v>-11.050860263829124</v>
      </c>
      <c r="L1402" s="84">
        <f t="shared" ca="1" si="47"/>
        <v>-4.9699650479544646</v>
      </c>
      <c r="M1402" s="84">
        <f t="shared" ca="1" si="48"/>
        <v>-8.0104126558917983</v>
      </c>
      <c r="N1402" s="84">
        <f t="shared" ca="1" si="49"/>
        <v>-10.159964161413052</v>
      </c>
      <c r="O1402" s="84">
        <f t="shared" si="50"/>
        <v>-5.8608611503705372</v>
      </c>
      <c r="P1402" s="84">
        <f t="shared" ca="1" si="52"/>
        <v>-7.3590849048426614</v>
      </c>
      <c r="Q1402" s="84">
        <f t="shared" si="51"/>
        <v>-6.4804217089917202</v>
      </c>
    </row>
    <row r="1403" spans="10:17" x14ac:dyDescent="0.25">
      <c r="J1403" s="84">
        <f t="shared" ca="1" si="53"/>
        <v>-12.491738112734579</v>
      </c>
      <c r="K1403" s="84">
        <f t="shared" ca="1" si="46"/>
        <v>-11.050860263829124</v>
      </c>
      <c r="L1403" s="84">
        <f t="shared" ca="1" si="47"/>
        <v>-4.9699650479544646</v>
      </c>
      <c r="M1403" s="84">
        <f t="shared" ca="1" si="48"/>
        <v>-8.0104126558917983</v>
      </c>
      <c r="N1403" s="84">
        <f t="shared" ca="1" si="49"/>
        <v>-10.159964161413052</v>
      </c>
      <c r="O1403" s="84">
        <f t="shared" si="50"/>
        <v>-5.8608611503705372</v>
      </c>
      <c r="P1403" s="84">
        <f t="shared" ca="1" si="52"/>
        <v>-7.3590849048426614</v>
      </c>
      <c r="Q1403" s="84">
        <f t="shared" si="51"/>
        <v>-6.4804217089917202</v>
      </c>
    </row>
    <row r="1404" spans="10:17" x14ac:dyDescent="0.25">
      <c r="J1404" s="84">
        <f t="shared" ca="1" si="53"/>
        <v>-12.491738112734579</v>
      </c>
      <c r="K1404" s="84">
        <f t="shared" ca="1" si="46"/>
        <v>-11.050860263829124</v>
      </c>
      <c r="L1404" s="84">
        <f t="shared" ca="1" si="47"/>
        <v>-4.9699650479544646</v>
      </c>
      <c r="M1404" s="84">
        <f t="shared" ca="1" si="48"/>
        <v>-8.0104126558917983</v>
      </c>
      <c r="N1404" s="84">
        <f t="shared" ca="1" si="49"/>
        <v>-10.159964161413052</v>
      </c>
      <c r="O1404" s="84">
        <f t="shared" si="50"/>
        <v>-5.8608611503705372</v>
      </c>
      <c r="P1404" s="84">
        <f t="shared" ca="1" si="52"/>
        <v>-7.3590849048426614</v>
      </c>
      <c r="Q1404" s="84">
        <f t="shared" si="51"/>
        <v>-6.4804217089917202</v>
      </c>
    </row>
    <row r="1405" spans="10:17" x14ac:dyDescent="0.25">
      <c r="J1405" s="84">
        <f t="shared" ca="1" si="53"/>
        <v>-12.491738112734579</v>
      </c>
      <c r="K1405" s="84">
        <f t="shared" ca="1" si="46"/>
        <v>-11.050860263829124</v>
      </c>
      <c r="L1405" s="84">
        <f t="shared" ca="1" si="47"/>
        <v>-4.9699650479544646</v>
      </c>
      <c r="M1405" s="84">
        <f t="shared" ca="1" si="48"/>
        <v>-8.0104126558917983</v>
      </c>
      <c r="N1405" s="84">
        <f t="shared" ca="1" si="49"/>
        <v>-10.159964161413052</v>
      </c>
      <c r="O1405" s="84">
        <f t="shared" si="50"/>
        <v>-5.8608611503705372</v>
      </c>
      <c r="P1405" s="84">
        <f t="shared" ca="1" si="52"/>
        <v>-7.3590849048426614</v>
      </c>
      <c r="Q1405" s="84">
        <f t="shared" si="51"/>
        <v>-6.4804217089917202</v>
      </c>
    </row>
    <row r="1406" spans="10:17" x14ac:dyDescent="0.25">
      <c r="J1406" s="84">
        <f t="shared" ca="1" si="53"/>
        <v>-12.491738112734579</v>
      </c>
      <c r="K1406" s="84">
        <f t="shared" ca="1" si="46"/>
        <v>-11.050860263829124</v>
      </c>
      <c r="L1406" s="84">
        <f t="shared" ca="1" si="47"/>
        <v>-4.9699650479544646</v>
      </c>
      <c r="M1406" s="84">
        <f t="shared" ca="1" si="48"/>
        <v>-8.0104126558917983</v>
      </c>
      <c r="N1406" s="84">
        <f t="shared" ca="1" si="49"/>
        <v>-10.159964161413052</v>
      </c>
      <c r="O1406" s="84">
        <f t="shared" si="50"/>
        <v>-5.8608611503705372</v>
      </c>
      <c r="P1406" s="84">
        <f t="shared" ca="1" si="52"/>
        <v>-7.3590849048426614</v>
      </c>
      <c r="Q1406" s="84">
        <f t="shared" si="51"/>
        <v>-6.4804217089917202</v>
      </c>
    </row>
    <row r="1407" spans="10:17" x14ac:dyDescent="0.25">
      <c r="J1407" s="84">
        <f t="shared" ca="1" si="53"/>
        <v>-12.491738112734579</v>
      </c>
      <c r="K1407" s="84">
        <f t="shared" ca="1" si="46"/>
        <v>-11.050860263829124</v>
      </c>
      <c r="L1407" s="84">
        <f t="shared" ca="1" si="47"/>
        <v>-4.9699650479544646</v>
      </c>
      <c r="M1407" s="84">
        <f t="shared" ca="1" si="48"/>
        <v>-8.0104126558917983</v>
      </c>
      <c r="N1407" s="84">
        <f t="shared" ca="1" si="49"/>
        <v>-10.159964161413052</v>
      </c>
      <c r="O1407" s="84">
        <f t="shared" si="50"/>
        <v>-5.8608611503705372</v>
      </c>
      <c r="P1407" s="84">
        <f t="shared" ca="1" si="52"/>
        <v>-7.3590849048426614</v>
      </c>
      <c r="Q1407" s="84">
        <f t="shared" si="51"/>
        <v>-6.4804217089917202</v>
      </c>
    </row>
    <row r="1408" spans="10:17" x14ac:dyDescent="0.25">
      <c r="J1408" s="84">
        <f t="shared" ca="1" si="53"/>
        <v>-12.491738112734579</v>
      </c>
      <c r="K1408" s="84">
        <f t="shared" ca="1" si="46"/>
        <v>-11.050860263829124</v>
      </c>
      <c r="L1408" s="84">
        <f t="shared" ca="1" si="47"/>
        <v>-4.9699650479544646</v>
      </c>
      <c r="M1408" s="84">
        <f t="shared" ca="1" si="48"/>
        <v>-8.0104126558917983</v>
      </c>
      <c r="N1408" s="84">
        <f t="shared" ca="1" si="49"/>
        <v>-10.159964161413052</v>
      </c>
      <c r="O1408" s="84">
        <f t="shared" si="50"/>
        <v>-5.8608611503705372</v>
      </c>
      <c r="P1408" s="84">
        <f t="shared" ca="1" si="52"/>
        <v>-7.3590849048426614</v>
      </c>
      <c r="Q1408" s="84">
        <f t="shared" si="51"/>
        <v>-6.4804217089917202</v>
      </c>
    </row>
    <row r="1409" spans="10:17" x14ac:dyDescent="0.25">
      <c r="J1409" s="84">
        <f t="shared" ca="1" si="53"/>
        <v>-12.491738112734579</v>
      </c>
      <c r="K1409" s="84">
        <f t="shared" ca="1" si="46"/>
        <v>-11.050860263829124</v>
      </c>
      <c r="L1409" s="84">
        <f t="shared" ca="1" si="47"/>
        <v>-4.9699650479544646</v>
      </c>
      <c r="M1409" s="84">
        <f t="shared" ca="1" si="48"/>
        <v>-8.0104126558917983</v>
      </c>
      <c r="N1409" s="84">
        <f t="shared" ca="1" si="49"/>
        <v>-10.159964161413052</v>
      </c>
      <c r="O1409" s="84">
        <f t="shared" si="50"/>
        <v>-5.8608611503705372</v>
      </c>
      <c r="P1409" s="84">
        <f t="shared" ca="1" si="52"/>
        <v>-7.3590849048426614</v>
      </c>
      <c r="Q1409" s="84">
        <f t="shared" si="51"/>
        <v>-6.4804217089917202</v>
      </c>
    </row>
    <row r="1410" spans="10:17" x14ac:dyDescent="0.25">
      <c r="J1410" s="84">
        <f t="shared" ca="1" si="53"/>
        <v>-12.491738112734579</v>
      </c>
      <c r="K1410" s="84">
        <f t="shared" ca="1" si="46"/>
        <v>-11.050860263829124</v>
      </c>
      <c r="L1410" s="84">
        <f t="shared" ca="1" si="47"/>
        <v>-4.9699650479544646</v>
      </c>
      <c r="M1410" s="84">
        <f t="shared" ca="1" si="48"/>
        <v>-8.0104126558917983</v>
      </c>
      <c r="N1410" s="84">
        <f t="shared" ca="1" si="49"/>
        <v>-10.159964161413052</v>
      </c>
      <c r="O1410" s="84">
        <f t="shared" si="50"/>
        <v>-5.8608611503705372</v>
      </c>
      <c r="P1410" s="84">
        <f t="shared" ca="1" si="52"/>
        <v>-7.3590849048426614</v>
      </c>
      <c r="Q1410" s="84">
        <f t="shared" si="51"/>
        <v>-6.4804217089917202</v>
      </c>
    </row>
    <row r="1411" spans="10:17" x14ac:dyDescent="0.25">
      <c r="J1411" s="84">
        <f t="shared" ca="1" si="53"/>
        <v>-12.491738112734579</v>
      </c>
      <c r="K1411" s="84">
        <f t="shared" ca="1" si="46"/>
        <v>-11.050860263829124</v>
      </c>
      <c r="L1411" s="84">
        <f t="shared" ca="1" si="47"/>
        <v>-4.9699650479544646</v>
      </c>
      <c r="M1411" s="84">
        <f t="shared" ca="1" si="48"/>
        <v>-8.0104126558917983</v>
      </c>
      <c r="N1411" s="84">
        <f t="shared" ca="1" si="49"/>
        <v>-10.159964161413052</v>
      </c>
      <c r="O1411" s="84">
        <f t="shared" si="50"/>
        <v>-5.8608611503705372</v>
      </c>
      <c r="P1411" s="84">
        <f t="shared" ca="1" si="52"/>
        <v>-7.3590849048426614</v>
      </c>
      <c r="Q1411" s="84">
        <f t="shared" si="51"/>
        <v>-6.4804217089917202</v>
      </c>
    </row>
    <row r="1412" spans="10:17" x14ac:dyDescent="0.25">
      <c r="J1412" s="84">
        <f t="shared" ca="1" si="53"/>
        <v>-12.491738112734579</v>
      </c>
      <c r="K1412" s="84">
        <f t="shared" ca="1" si="46"/>
        <v>-11.050860263829124</v>
      </c>
      <c r="L1412" s="84">
        <f t="shared" ca="1" si="47"/>
        <v>-4.9699650479544646</v>
      </c>
      <c r="M1412" s="84">
        <f t="shared" ca="1" si="48"/>
        <v>-8.0104126558917983</v>
      </c>
      <c r="N1412" s="84">
        <f t="shared" ca="1" si="49"/>
        <v>-10.159964161413052</v>
      </c>
      <c r="O1412" s="84">
        <f t="shared" si="50"/>
        <v>-5.8608611503705372</v>
      </c>
      <c r="P1412" s="84">
        <f t="shared" ca="1" si="52"/>
        <v>-7.3590849048426614</v>
      </c>
      <c r="Q1412" s="84">
        <f t="shared" si="51"/>
        <v>-6.4804217089917202</v>
      </c>
    </row>
    <row r="1413" spans="10:17" x14ac:dyDescent="0.25">
      <c r="J1413" s="84">
        <f t="shared" ca="1" si="53"/>
        <v>-12.491738112734579</v>
      </c>
      <c r="K1413" s="84">
        <f t="shared" ca="1" si="46"/>
        <v>-11.050860263829124</v>
      </c>
      <c r="L1413" s="84">
        <f t="shared" ca="1" si="47"/>
        <v>-4.9699650479544646</v>
      </c>
      <c r="M1413" s="84">
        <f t="shared" ca="1" si="48"/>
        <v>-8.0104126558917983</v>
      </c>
      <c r="N1413" s="84">
        <f t="shared" ca="1" si="49"/>
        <v>-10.159964161413052</v>
      </c>
      <c r="O1413" s="84">
        <f t="shared" si="50"/>
        <v>-5.8608611503705372</v>
      </c>
      <c r="P1413" s="84">
        <f t="shared" ca="1" si="52"/>
        <v>-7.3590849048426614</v>
      </c>
      <c r="Q1413" s="84">
        <f t="shared" si="51"/>
        <v>-6.4804217089917202</v>
      </c>
    </row>
    <row r="1414" spans="10:17" x14ac:dyDescent="0.25">
      <c r="J1414" s="84">
        <f t="shared" ca="1" si="53"/>
        <v>-12.491738112734579</v>
      </c>
      <c r="K1414" s="84">
        <f t="shared" ca="1" si="46"/>
        <v>-11.050860263829124</v>
      </c>
      <c r="L1414" s="84">
        <f t="shared" ca="1" si="47"/>
        <v>-4.9699650479544646</v>
      </c>
      <c r="M1414" s="84">
        <f t="shared" ca="1" si="48"/>
        <v>-8.0104126558917983</v>
      </c>
      <c r="N1414" s="84">
        <f t="shared" ca="1" si="49"/>
        <v>-10.159964161413052</v>
      </c>
      <c r="O1414" s="84">
        <f t="shared" si="50"/>
        <v>-5.8608611503705372</v>
      </c>
      <c r="P1414" s="84">
        <f t="shared" ca="1" si="52"/>
        <v>-7.3590849048426614</v>
      </c>
      <c r="Q1414" s="84">
        <f t="shared" si="51"/>
        <v>-6.4804217089917202</v>
      </c>
    </row>
    <row r="1415" spans="10:17" x14ac:dyDescent="0.25">
      <c r="J1415" s="84">
        <f t="shared" ca="1" si="53"/>
        <v>-12.491738112734579</v>
      </c>
      <c r="K1415" s="84">
        <f t="shared" ca="1" si="46"/>
        <v>-11.050860263829124</v>
      </c>
      <c r="L1415" s="84">
        <f t="shared" ca="1" si="47"/>
        <v>-4.9699650479544646</v>
      </c>
      <c r="M1415" s="84">
        <f t="shared" ca="1" si="48"/>
        <v>-8.0104126558917983</v>
      </c>
      <c r="N1415" s="84">
        <f t="shared" ca="1" si="49"/>
        <v>-10.159964161413052</v>
      </c>
      <c r="O1415" s="84">
        <f t="shared" si="50"/>
        <v>-5.8608611503705372</v>
      </c>
      <c r="P1415" s="84">
        <f t="shared" ca="1" si="52"/>
        <v>-7.3590849048426614</v>
      </c>
      <c r="Q1415" s="84">
        <f t="shared" si="51"/>
        <v>-6.4804217089917202</v>
      </c>
    </row>
    <row r="1416" spans="10:17" x14ac:dyDescent="0.25">
      <c r="J1416" s="84">
        <f t="shared" ca="1" si="53"/>
        <v>-12.491738112734579</v>
      </c>
      <c r="K1416" s="84">
        <f t="shared" ca="1" si="46"/>
        <v>-11.050860263829124</v>
      </c>
      <c r="L1416" s="84">
        <f t="shared" ca="1" si="47"/>
        <v>-4.9699650479544646</v>
      </c>
      <c r="M1416" s="84">
        <f t="shared" ca="1" si="48"/>
        <v>-8.0104126558917983</v>
      </c>
      <c r="N1416" s="84">
        <f t="shared" ca="1" si="49"/>
        <v>-10.159964161413052</v>
      </c>
      <c r="O1416" s="84">
        <f t="shared" si="50"/>
        <v>-5.8608611503705372</v>
      </c>
      <c r="P1416" s="84">
        <f t="shared" ca="1" si="52"/>
        <v>-7.3590849048426614</v>
      </c>
      <c r="Q1416" s="84">
        <f t="shared" si="51"/>
        <v>-6.4804217089917202</v>
      </c>
    </row>
    <row r="1417" spans="10:17" x14ac:dyDescent="0.25">
      <c r="J1417" s="84">
        <f t="shared" ca="1" si="53"/>
        <v>-12.491738112734579</v>
      </c>
      <c r="K1417" s="84">
        <f t="shared" ca="1" si="46"/>
        <v>-11.050860263829124</v>
      </c>
      <c r="L1417" s="84">
        <f t="shared" ca="1" si="47"/>
        <v>-4.9699650479544646</v>
      </c>
      <c r="M1417" s="84">
        <f t="shared" ca="1" si="48"/>
        <v>-8.0104126558917983</v>
      </c>
      <c r="N1417" s="84">
        <f t="shared" ca="1" si="49"/>
        <v>-10.159964161413052</v>
      </c>
      <c r="O1417" s="84">
        <f t="shared" si="50"/>
        <v>-5.8608611503705372</v>
      </c>
      <c r="P1417" s="84">
        <f t="shared" ca="1" si="52"/>
        <v>-7.3590849048426614</v>
      </c>
      <c r="Q1417" s="84">
        <f t="shared" si="51"/>
        <v>-6.4804217089917202</v>
      </c>
    </row>
    <row r="1418" spans="10:17" x14ac:dyDescent="0.25">
      <c r="J1418" s="84">
        <f t="shared" ca="1" si="53"/>
        <v>-12.491738112734579</v>
      </c>
      <c r="K1418" s="84">
        <f t="shared" ca="1" si="46"/>
        <v>-11.050860263829124</v>
      </c>
      <c r="L1418" s="84">
        <f t="shared" ca="1" si="47"/>
        <v>-4.9699650479544646</v>
      </c>
      <c r="M1418" s="84">
        <f t="shared" ca="1" si="48"/>
        <v>-8.0104126558917983</v>
      </c>
      <c r="N1418" s="84">
        <f t="shared" ca="1" si="49"/>
        <v>-10.159964161413052</v>
      </c>
      <c r="O1418" s="84">
        <f t="shared" si="50"/>
        <v>-5.8608611503705372</v>
      </c>
      <c r="P1418" s="84">
        <f t="shared" ca="1" si="52"/>
        <v>-7.3590849048426614</v>
      </c>
      <c r="Q1418" s="84">
        <f t="shared" si="51"/>
        <v>-6.4804217089917202</v>
      </c>
    </row>
    <row r="1419" spans="10:17" x14ac:dyDescent="0.25">
      <c r="J1419" s="84">
        <f t="shared" ca="1" si="53"/>
        <v>-12.491738112734579</v>
      </c>
      <c r="K1419" s="84">
        <f t="shared" ca="1" si="46"/>
        <v>-11.050860263829124</v>
      </c>
      <c r="L1419" s="84">
        <f t="shared" ca="1" si="47"/>
        <v>-4.9699650479544646</v>
      </c>
      <c r="M1419" s="84">
        <f t="shared" ca="1" si="48"/>
        <v>-8.0104126558917983</v>
      </c>
      <c r="N1419" s="84">
        <f t="shared" ca="1" si="49"/>
        <v>-10.159964161413052</v>
      </c>
      <c r="O1419" s="84">
        <f t="shared" si="50"/>
        <v>-5.8608611503705372</v>
      </c>
      <c r="P1419" s="84">
        <f t="shared" ca="1" si="52"/>
        <v>-7.3590849048426614</v>
      </c>
      <c r="Q1419" s="84">
        <f t="shared" si="51"/>
        <v>-6.4804217089917202</v>
      </c>
    </row>
    <row r="1420" spans="10:17" x14ac:dyDescent="0.25">
      <c r="J1420" s="84">
        <f t="shared" ca="1" si="53"/>
        <v>-12.491738112734579</v>
      </c>
      <c r="K1420" s="84">
        <f t="shared" ca="1" si="46"/>
        <v>-11.050860263829124</v>
      </c>
      <c r="L1420" s="84">
        <f t="shared" ca="1" si="47"/>
        <v>-4.9699650479544646</v>
      </c>
      <c r="M1420" s="84">
        <f t="shared" ca="1" si="48"/>
        <v>-8.0104126558917983</v>
      </c>
      <c r="N1420" s="84">
        <f t="shared" ca="1" si="49"/>
        <v>-10.159964161413052</v>
      </c>
      <c r="O1420" s="84">
        <f t="shared" si="50"/>
        <v>-5.8608611503705372</v>
      </c>
      <c r="P1420" s="84">
        <f t="shared" ca="1" si="52"/>
        <v>-7.3590849048426614</v>
      </c>
      <c r="Q1420" s="84">
        <f t="shared" si="51"/>
        <v>-6.4804217089917202</v>
      </c>
    </row>
    <row r="1421" spans="10:17" x14ac:dyDescent="0.25">
      <c r="J1421" s="84">
        <f t="shared" ca="1" si="53"/>
        <v>-12.491738112734579</v>
      </c>
      <c r="K1421" s="84">
        <f t="shared" ca="1" si="46"/>
        <v>-11.050860263829124</v>
      </c>
      <c r="L1421" s="84">
        <f t="shared" ca="1" si="47"/>
        <v>-4.9699650479544646</v>
      </c>
      <c r="M1421" s="84">
        <f t="shared" ca="1" si="48"/>
        <v>-8.0104126558917983</v>
      </c>
      <c r="N1421" s="84">
        <f t="shared" ca="1" si="49"/>
        <v>-10.159964161413052</v>
      </c>
      <c r="O1421" s="84">
        <f t="shared" si="50"/>
        <v>-5.8608611503705372</v>
      </c>
      <c r="P1421" s="84">
        <f t="shared" ca="1" si="52"/>
        <v>-7.3590849048426614</v>
      </c>
      <c r="Q1421" s="84">
        <f t="shared" si="51"/>
        <v>-6.4804217089917202</v>
      </c>
    </row>
    <row r="1422" spans="10:17" x14ac:dyDescent="0.25">
      <c r="J1422" s="84">
        <f t="shared" ca="1" si="53"/>
        <v>-12.491738112734579</v>
      </c>
      <c r="K1422" s="84">
        <f t="shared" ca="1" si="46"/>
        <v>-11.050860263829124</v>
      </c>
      <c r="L1422" s="84">
        <f t="shared" ca="1" si="47"/>
        <v>-4.9699650479544646</v>
      </c>
      <c r="M1422" s="84">
        <f t="shared" ca="1" si="48"/>
        <v>-8.0104126558917983</v>
      </c>
      <c r="N1422" s="84">
        <f t="shared" ca="1" si="49"/>
        <v>-10.159964161413052</v>
      </c>
      <c r="O1422" s="84">
        <f t="shared" si="50"/>
        <v>-5.8608611503705372</v>
      </c>
      <c r="P1422" s="84">
        <f t="shared" ca="1" si="52"/>
        <v>-7.3590849048426614</v>
      </c>
      <c r="Q1422" s="84">
        <f t="shared" si="51"/>
        <v>-6.4804217089917202</v>
      </c>
    </row>
    <row r="1423" spans="10:17" x14ac:dyDescent="0.25">
      <c r="J1423" s="84">
        <f t="shared" ca="1" si="53"/>
        <v>-12.491738112734579</v>
      </c>
      <c r="K1423" s="84">
        <f t="shared" ca="1" si="46"/>
        <v>-11.050860263829124</v>
      </c>
      <c r="L1423" s="84">
        <f t="shared" ca="1" si="47"/>
        <v>-4.9699650479544646</v>
      </c>
      <c r="M1423" s="84">
        <f t="shared" ca="1" si="48"/>
        <v>-8.0104126558917983</v>
      </c>
      <c r="N1423" s="84">
        <f t="shared" ca="1" si="49"/>
        <v>-10.159964161413052</v>
      </c>
      <c r="O1423" s="84">
        <f t="shared" si="50"/>
        <v>-5.8608611503705372</v>
      </c>
      <c r="P1423" s="84">
        <f t="shared" ca="1" si="52"/>
        <v>-7.3590849048426614</v>
      </c>
      <c r="Q1423" s="84">
        <f t="shared" si="51"/>
        <v>-6.4804217089917202</v>
      </c>
    </row>
    <row r="1424" spans="10:17" x14ac:dyDescent="0.25">
      <c r="J1424" s="84">
        <f t="shared" ca="1" si="53"/>
        <v>-12.491738112734579</v>
      </c>
      <c r="K1424" s="84">
        <f t="shared" ca="1" si="46"/>
        <v>-11.050860263829124</v>
      </c>
      <c r="L1424" s="84">
        <f t="shared" ca="1" si="47"/>
        <v>-4.9699650479544646</v>
      </c>
      <c r="M1424" s="84">
        <f t="shared" ca="1" si="48"/>
        <v>-8.0104126558917983</v>
      </c>
      <c r="N1424" s="84">
        <f t="shared" ca="1" si="49"/>
        <v>-10.159964161413052</v>
      </c>
      <c r="O1424" s="84">
        <f t="shared" si="50"/>
        <v>-5.8608611503705372</v>
      </c>
      <c r="P1424" s="84">
        <f t="shared" ca="1" si="52"/>
        <v>-7.3590849048426614</v>
      </c>
      <c r="Q1424" s="84">
        <f t="shared" si="51"/>
        <v>-6.4804217089917202</v>
      </c>
    </row>
    <row r="1425" spans="10:17" x14ac:dyDescent="0.25">
      <c r="J1425" s="84">
        <f t="shared" ca="1" si="53"/>
        <v>-12.491738112734579</v>
      </c>
      <c r="K1425" s="84">
        <f t="shared" ca="1" si="46"/>
        <v>-11.050860263829124</v>
      </c>
      <c r="L1425" s="84">
        <f t="shared" ca="1" si="47"/>
        <v>-4.9699650479544646</v>
      </c>
      <c r="M1425" s="84">
        <f t="shared" ca="1" si="48"/>
        <v>-8.0104126558917983</v>
      </c>
      <c r="N1425" s="84">
        <f t="shared" ca="1" si="49"/>
        <v>-10.159964161413052</v>
      </c>
      <c r="O1425" s="84">
        <f t="shared" si="50"/>
        <v>-5.8608611503705372</v>
      </c>
      <c r="P1425" s="84">
        <f t="shared" ca="1" si="52"/>
        <v>-7.3590849048426614</v>
      </c>
      <c r="Q1425" s="84">
        <f t="shared" si="51"/>
        <v>-6.4804217089917202</v>
      </c>
    </row>
    <row r="1426" spans="10:17" x14ac:dyDescent="0.25">
      <c r="J1426" s="84">
        <f t="shared" ca="1" si="53"/>
        <v>-12.491738112734579</v>
      </c>
      <c r="K1426" s="84">
        <f t="shared" ca="1" si="46"/>
        <v>-11.050860263829124</v>
      </c>
      <c r="L1426" s="84">
        <f t="shared" ca="1" si="47"/>
        <v>-4.9699650479544646</v>
      </c>
      <c r="M1426" s="84">
        <f t="shared" ca="1" si="48"/>
        <v>-8.0104126558917983</v>
      </c>
      <c r="N1426" s="84">
        <f t="shared" ca="1" si="49"/>
        <v>-10.159964161413052</v>
      </c>
      <c r="O1426" s="84">
        <f t="shared" si="50"/>
        <v>-5.8608611503705372</v>
      </c>
      <c r="P1426" s="84">
        <f t="shared" ca="1" si="52"/>
        <v>-7.3590849048426614</v>
      </c>
      <c r="Q1426" s="84">
        <f t="shared" si="51"/>
        <v>-6.4804217089917202</v>
      </c>
    </row>
    <row r="1427" spans="10:17" x14ac:dyDescent="0.25">
      <c r="J1427" s="84">
        <f t="shared" ca="1" si="53"/>
        <v>-12.491738112734579</v>
      </c>
      <c r="K1427" s="84">
        <f t="shared" ca="1" si="46"/>
        <v>-11.050860263829124</v>
      </c>
      <c r="L1427" s="84">
        <f t="shared" ca="1" si="47"/>
        <v>-4.9699650479544646</v>
      </c>
      <c r="M1427" s="84">
        <f t="shared" ca="1" si="48"/>
        <v>-8.0104126558917983</v>
      </c>
      <c r="N1427" s="84">
        <f t="shared" ca="1" si="49"/>
        <v>-10.159964161413052</v>
      </c>
      <c r="O1427" s="84">
        <f t="shared" si="50"/>
        <v>-5.8608611503705372</v>
      </c>
      <c r="P1427" s="84">
        <f t="shared" ca="1" si="52"/>
        <v>-7.3590849048426614</v>
      </c>
      <c r="Q1427" s="84">
        <f t="shared" si="51"/>
        <v>-6.4804217089917202</v>
      </c>
    </row>
    <row r="1428" spans="10:17" x14ac:dyDescent="0.25">
      <c r="J1428" s="84">
        <f t="shared" ca="1" si="53"/>
        <v>-12.491738112734579</v>
      </c>
      <c r="K1428" s="84">
        <f t="shared" ca="1" si="46"/>
        <v>-11.050860263829124</v>
      </c>
      <c r="L1428" s="84">
        <f t="shared" ca="1" si="47"/>
        <v>-4.9699650479544646</v>
      </c>
      <c r="M1428" s="84">
        <f t="shared" ca="1" si="48"/>
        <v>-8.0104126558917983</v>
      </c>
      <c r="N1428" s="84">
        <f t="shared" ca="1" si="49"/>
        <v>-10.159964161413052</v>
      </c>
      <c r="O1428" s="84">
        <f t="shared" si="50"/>
        <v>-5.8608611503705372</v>
      </c>
      <c r="P1428" s="84">
        <f t="shared" ca="1" si="52"/>
        <v>-7.3590849048426614</v>
      </c>
      <c r="Q1428" s="84">
        <f t="shared" si="51"/>
        <v>-6.4804217089917202</v>
      </c>
    </row>
    <row r="1429" spans="10:17" x14ac:dyDescent="0.25">
      <c r="J1429" s="84">
        <f t="shared" ca="1" si="53"/>
        <v>-12.491738112734579</v>
      </c>
      <c r="K1429" s="84">
        <f t="shared" ca="1" si="46"/>
        <v>-11.050860263829124</v>
      </c>
      <c r="L1429" s="84">
        <f t="shared" ca="1" si="47"/>
        <v>-4.9699650479544646</v>
      </c>
      <c r="M1429" s="84">
        <f t="shared" ca="1" si="48"/>
        <v>-8.0104126558917983</v>
      </c>
      <c r="N1429" s="84">
        <f t="shared" ca="1" si="49"/>
        <v>-10.159964161413052</v>
      </c>
      <c r="O1429" s="84">
        <f t="shared" si="50"/>
        <v>-5.8608611503705372</v>
      </c>
      <c r="P1429" s="84">
        <f t="shared" ca="1" si="52"/>
        <v>-7.3590849048426614</v>
      </c>
      <c r="Q1429" s="84">
        <f t="shared" si="51"/>
        <v>-6.4804217089917202</v>
      </c>
    </row>
    <row r="1430" spans="10:17" x14ac:dyDescent="0.25">
      <c r="J1430" s="84">
        <f t="shared" ca="1" si="53"/>
        <v>-12.491738112734579</v>
      </c>
      <c r="K1430" s="84">
        <f t="shared" ca="1" si="46"/>
        <v>-11.050860263829124</v>
      </c>
      <c r="L1430" s="84">
        <f t="shared" ca="1" si="47"/>
        <v>-4.9699650479544646</v>
      </c>
      <c r="M1430" s="84">
        <f t="shared" ca="1" si="48"/>
        <v>-8.0104126558917983</v>
      </c>
      <c r="N1430" s="84">
        <f t="shared" ca="1" si="49"/>
        <v>-10.159964161413052</v>
      </c>
      <c r="O1430" s="84">
        <f t="shared" si="50"/>
        <v>-5.8608611503705372</v>
      </c>
      <c r="P1430" s="84">
        <f t="shared" ca="1" si="52"/>
        <v>-7.3590849048426614</v>
      </c>
      <c r="Q1430" s="84">
        <f t="shared" si="51"/>
        <v>-6.4804217089917202</v>
      </c>
    </row>
    <row r="1431" spans="10:17" x14ac:dyDescent="0.25">
      <c r="J1431" s="84">
        <f t="shared" ca="1" si="53"/>
        <v>-12.491738112734579</v>
      </c>
      <c r="K1431" s="84">
        <f t="shared" ca="1" si="46"/>
        <v>-11.050860263829124</v>
      </c>
      <c r="L1431" s="84">
        <f t="shared" ca="1" si="47"/>
        <v>-4.9699650479544646</v>
      </c>
      <c r="M1431" s="84">
        <f t="shared" ca="1" si="48"/>
        <v>-8.0104126558917983</v>
      </c>
      <c r="N1431" s="84">
        <f t="shared" ca="1" si="49"/>
        <v>-10.159964161413052</v>
      </c>
      <c r="O1431" s="84">
        <f t="shared" si="50"/>
        <v>-5.8608611503705372</v>
      </c>
      <c r="P1431" s="84">
        <f t="shared" ca="1" si="52"/>
        <v>-7.3590849048426614</v>
      </c>
      <c r="Q1431" s="84">
        <f t="shared" si="51"/>
        <v>-6.4804217089917202</v>
      </c>
    </row>
    <row r="1432" spans="10:17" x14ac:dyDescent="0.25">
      <c r="J1432" s="84">
        <f t="shared" ca="1" si="53"/>
        <v>-12.491738112734579</v>
      </c>
      <c r="K1432" s="84">
        <f t="shared" ca="1" si="46"/>
        <v>-11.050860263829124</v>
      </c>
      <c r="L1432" s="84">
        <f t="shared" ca="1" si="47"/>
        <v>-4.9699650479544646</v>
      </c>
      <c r="M1432" s="84">
        <f t="shared" ca="1" si="48"/>
        <v>-8.0104126558917983</v>
      </c>
      <c r="N1432" s="84">
        <f t="shared" ca="1" si="49"/>
        <v>-10.159964161413052</v>
      </c>
      <c r="O1432" s="84">
        <f t="shared" si="50"/>
        <v>-5.8608611503705372</v>
      </c>
      <c r="P1432" s="84">
        <f t="shared" ca="1" si="52"/>
        <v>-7.3590849048426614</v>
      </c>
      <c r="Q1432" s="84">
        <f t="shared" si="51"/>
        <v>-6.4804217089917202</v>
      </c>
    </row>
    <row r="1433" spans="10:17" x14ac:dyDescent="0.25">
      <c r="J1433" s="84">
        <f t="shared" ca="1" si="53"/>
        <v>-12.491738112734579</v>
      </c>
      <c r="K1433" s="84">
        <f t="shared" ca="1" si="46"/>
        <v>-11.050860263829124</v>
      </c>
      <c r="L1433" s="84">
        <f t="shared" ca="1" si="47"/>
        <v>-4.9699650479544646</v>
      </c>
      <c r="M1433" s="84">
        <f t="shared" ca="1" si="48"/>
        <v>-8.0104126558917983</v>
      </c>
      <c r="N1433" s="84">
        <f t="shared" ca="1" si="49"/>
        <v>-10.159964161413052</v>
      </c>
      <c r="O1433" s="84">
        <f t="shared" si="50"/>
        <v>-5.8608611503705372</v>
      </c>
      <c r="P1433" s="84">
        <f t="shared" ca="1" si="52"/>
        <v>-7.3590849048426614</v>
      </c>
      <c r="Q1433" s="84">
        <f t="shared" si="51"/>
        <v>-6.4804217089917202</v>
      </c>
    </row>
    <row r="1434" spans="10:17" x14ac:dyDescent="0.25">
      <c r="J1434" s="84">
        <f t="shared" ca="1" si="53"/>
        <v>-12.491738112734579</v>
      </c>
      <c r="K1434" s="84">
        <f t="shared" ca="1" si="46"/>
        <v>-11.050860263829124</v>
      </c>
      <c r="L1434" s="84">
        <f t="shared" ca="1" si="47"/>
        <v>-4.9699650479544646</v>
      </c>
      <c r="M1434" s="84">
        <f t="shared" ca="1" si="48"/>
        <v>-8.0104126558917983</v>
      </c>
      <c r="N1434" s="84">
        <f t="shared" ca="1" si="49"/>
        <v>-10.159964161413052</v>
      </c>
      <c r="O1434" s="84">
        <f t="shared" si="50"/>
        <v>-5.8608611503705372</v>
      </c>
      <c r="P1434" s="84">
        <f t="shared" ca="1" si="52"/>
        <v>-7.3590849048426614</v>
      </c>
      <c r="Q1434" s="84">
        <f t="shared" si="51"/>
        <v>-6.4804217089917202</v>
      </c>
    </row>
    <row r="1435" spans="10:17" x14ac:dyDescent="0.25">
      <c r="J1435" s="84">
        <f t="shared" ca="1" si="53"/>
        <v>-12.491738112734579</v>
      </c>
      <c r="K1435" s="84">
        <f t="shared" ca="1" si="46"/>
        <v>-11.050860263829124</v>
      </c>
      <c r="L1435" s="84">
        <f t="shared" ca="1" si="47"/>
        <v>-4.9699650479544646</v>
      </c>
      <c r="M1435" s="84">
        <f t="shared" ca="1" si="48"/>
        <v>-8.0104126558917983</v>
      </c>
      <c r="N1435" s="84">
        <f t="shared" ca="1" si="49"/>
        <v>-10.159964161413052</v>
      </c>
      <c r="O1435" s="84">
        <f t="shared" si="50"/>
        <v>-5.8608611503705372</v>
      </c>
      <c r="P1435" s="84">
        <f t="shared" ca="1" si="52"/>
        <v>-7.3590849048426614</v>
      </c>
      <c r="Q1435" s="84">
        <f t="shared" si="51"/>
        <v>-6.4804217089917202</v>
      </c>
    </row>
    <row r="1436" spans="10:17" x14ac:dyDescent="0.25">
      <c r="J1436" s="84">
        <f t="shared" ca="1" si="53"/>
        <v>-12.491738112734579</v>
      </c>
      <c r="K1436" s="84">
        <f t="shared" ca="1" si="46"/>
        <v>-11.050860263829124</v>
      </c>
      <c r="L1436" s="84">
        <f t="shared" ca="1" si="47"/>
        <v>-4.9699650479544646</v>
      </c>
      <c r="M1436" s="84">
        <f t="shared" ca="1" si="48"/>
        <v>-8.0104126558917983</v>
      </c>
      <c r="N1436" s="84">
        <f t="shared" ca="1" si="49"/>
        <v>-10.159964161413052</v>
      </c>
      <c r="O1436" s="84">
        <f t="shared" si="50"/>
        <v>-5.8608611503705372</v>
      </c>
      <c r="P1436" s="84">
        <f t="shared" ca="1" si="52"/>
        <v>-7.3590849048426614</v>
      </c>
      <c r="Q1436" s="84">
        <f t="shared" si="51"/>
        <v>-6.4804217089917202</v>
      </c>
    </row>
    <row r="1437" spans="10:17" x14ac:dyDescent="0.25">
      <c r="J1437" s="84">
        <f t="shared" ca="1" si="53"/>
        <v>-12.491738112734579</v>
      </c>
      <c r="K1437" s="84">
        <f t="shared" ca="1" si="46"/>
        <v>-11.050860263829124</v>
      </c>
      <c r="L1437" s="84">
        <f t="shared" ca="1" si="47"/>
        <v>-4.9699650479544646</v>
      </c>
      <c r="M1437" s="84">
        <f t="shared" ca="1" si="48"/>
        <v>-8.0104126558917983</v>
      </c>
      <c r="N1437" s="84">
        <f t="shared" ca="1" si="49"/>
        <v>-10.159964161413052</v>
      </c>
      <c r="O1437" s="84">
        <f t="shared" si="50"/>
        <v>-5.8608611503705372</v>
      </c>
      <c r="P1437" s="84">
        <f t="shared" ca="1" si="52"/>
        <v>-7.3590849048426614</v>
      </c>
      <c r="Q1437" s="84">
        <f t="shared" si="51"/>
        <v>-6.4804217089917202</v>
      </c>
    </row>
    <row r="1438" spans="10:17" x14ac:dyDescent="0.25">
      <c r="J1438" s="84">
        <f t="shared" ca="1" si="53"/>
        <v>-12.491738112734579</v>
      </c>
      <c r="K1438" s="84">
        <f t="shared" ca="1" si="46"/>
        <v>-11.050860263829124</v>
      </c>
      <c r="L1438" s="84">
        <f t="shared" ca="1" si="47"/>
        <v>-4.9699650479544646</v>
      </c>
      <c r="M1438" s="84">
        <f t="shared" ca="1" si="48"/>
        <v>-8.0104126558917983</v>
      </c>
      <c r="N1438" s="84">
        <f t="shared" ca="1" si="49"/>
        <v>-10.159964161413052</v>
      </c>
      <c r="O1438" s="84">
        <f t="shared" si="50"/>
        <v>-5.8608611503705372</v>
      </c>
      <c r="P1438" s="84">
        <f t="shared" ca="1" si="52"/>
        <v>-7.3590849048426614</v>
      </c>
      <c r="Q1438" s="84">
        <f t="shared" si="51"/>
        <v>-6.4804217089917202</v>
      </c>
    </row>
    <row r="1439" spans="10:17" x14ac:dyDescent="0.25">
      <c r="J1439" s="84">
        <f t="shared" ca="1" si="53"/>
        <v>-12.491738112734579</v>
      </c>
      <c r="K1439" s="84">
        <f t="shared" ca="1" si="46"/>
        <v>-11.050860263829124</v>
      </c>
      <c r="L1439" s="84">
        <f t="shared" ca="1" si="47"/>
        <v>-4.9699650479544646</v>
      </c>
      <c r="M1439" s="84">
        <f t="shared" ca="1" si="48"/>
        <v>-8.0104126558917983</v>
      </c>
      <c r="N1439" s="84">
        <f t="shared" ca="1" si="49"/>
        <v>-10.159964161413052</v>
      </c>
      <c r="O1439" s="84">
        <f t="shared" si="50"/>
        <v>-5.8608611503705372</v>
      </c>
      <c r="P1439" s="84">
        <f t="shared" ca="1" si="52"/>
        <v>-7.3590849048426614</v>
      </c>
      <c r="Q1439" s="84">
        <f t="shared" si="51"/>
        <v>-6.4804217089917202</v>
      </c>
    </row>
    <row r="1440" spans="10:17" x14ac:dyDescent="0.25">
      <c r="J1440" s="84">
        <f t="shared" ca="1" si="53"/>
        <v>-12.491738112734579</v>
      </c>
      <c r="K1440" s="84">
        <f t="shared" ca="1" si="46"/>
        <v>-11.050860263829124</v>
      </c>
      <c r="L1440" s="84">
        <f t="shared" ca="1" si="47"/>
        <v>-4.9699650479544646</v>
      </c>
      <c r="M1440" s="84">
        <f t="shared" ca="1" si="48"/>
        <v>-8.0104126558917983</v>
      </c>
      <c r="N1440" s="84">
        <f t="shared" ca="1" si="49"/>
        <v>-10.159964161413052</v>
      </c>
      <c r="O1440" s="84">
        <f t="shared" si="50"/>
        <v>-5.8608611503705372</v>
      </c>
      <c r="P1440" s="84">
        <f t="shared" ca="1" si="52"/>
        <v>-7.3590849048426614</v>
      </c>
      <c r="Q1440" s="84">
        <f t="shared" si="51"/>
        <v>-6.4804217089917202</v>
      </c>
    </row>
    <row r="1441" spans="10:17" x14ac:dyDescent="0.25">
      <c r="J1441" s="84">
        <f t="shared" ca="1" si="53"/>
        <v>-12.491738112734579</v>
      </c>
      <c r="K1441" s="84">
        <f t="shared" ca="1" si="46"/>
        <v>-11.050860263829124</v>
      </c>
      <c r="L1441" s="84">
        <f t="shared" ca="1" si="47"/>
        <v>-4.9699650479544646</v>
      </c>
      <c r="M1441" s="84">
        <f t="shared" ca="1" si="48"/>
        <v>-8.0104126558917983</v>
      </c>
      <c r="N1441" s="84">
        <f t="shared" ca="1" si="49"/>
        <v>-10.159964161413052</v>
      </c>
      <c r="O1441" s="84">
        <f t="shared" si="50"/>
        <v>-5.8608611503705372</v>
      </c>
      <c r="P1441" s="84">
        <f t="shared" ca="1" si="52"/>
        <v>-7.3590849048426614</v>
      </c>
      <c r="Q1441" s="84">
        <f t="shared" si="51"/>
        <v>-6.4804217089917202</v>
      </c>
    </row>
    <row r="1442" spans="10:17" x14ac:dyDescent="0.25">
      <c r="J1442" s="84">
        <f t="shared" ca="1" si="53"/>
        <v>-12.491738112734579</v>
      </c>
      <c r="K1442" s="84">
        <f t="shared" ca="1" si="46"/>
        <v>-11.050860263829124</v>
      </c>
      <c r="L1442" s="84">
        <f t="shared" ca="1" si="47"/>
        <v>-4.9699650479544646</v>
      </c>
      <c r="M1442" s="84">
        <f t="shared" ca="1" si="48"/>
        <v>-8.0104126558917983</v>
      </c>
      <c r="N1442" s="84">
        <f t="shared" ca="1" si="49"/>
        <v>-10.159964161413052</v>
      </c>
      <c r="O1442" s="84">
        <f t="shared" si="50"/>
        <v>-5.8608611503705372</v>
      </c>
      <c r="P1442" s="84">
        <f t="shared" ca="1" si="52"/>
        <v>-7.3590849048426614</v>
      </c>
      <c r="Q1442" s="84">
        <f t="shared" si="51"/>
        <v>-6.4804217089917202</v>
      </c>
    </row>
    <row r="1443" spans="10:17" x14ac:dyDescent="0.25">
      <c r="J1443" s="84">
        <f t="shared" ca="1" si="53"/>
        <v>-12.491738112734579</v>
      </c>
      <c r="K1443" s="84">
        <f t="shared" ca="1" si="46"/>
        <v>-11.050860263829124</v>
      </c>
      <c r="L1443" s="84">
        <f t="shared" ca="1" si="47"/>
        <v>-4.9699650479544646</v>
      </c>
      <c r="M1443" s="84">
        <f t="shared" ca="1" si="48"/>
        <v>-8.0104126558917983</v>
      </c>
      <c r="N1443" s="84">
        <f t="shared" ca="1" si="49"/>
        <v>-10.159964161413052</v>
      </c>
      <c r="O1443" s="84">
        <f t="shared" si="50"/>
        <v>-5.8608611503705372</v>
      </c>
      <c r="P1443" s="84">
        <f t="shared" ca="1" si="52"/>
        <v>-7.3590849048426614</v>
      </c>
      <c r="Q1443" s="84">
        <f t="shared" si="51"/>
        <v>-6.4804217089917202</v>
      </c>
    </row>
    <row r="1444" spans="10:17" x14ac:dyDescent="0.25">
      <c r="J1444" s="84">
        <f t="shared" ca="1" si="53"/>
        <v>-12.491738112734579</v>
      </c>
    </row>
  </sheetData>
  <mergeCells count="84">
    <mergeCell ref="AD55:AE55"/>
    <mergeCell ref="AD58:AE58"/>
    <mergeCell ref="AD61:AE61"/>
    <mergeCell ref="AD63:AE63"/>
    <mergeCell ref="AD56:AE56"/>
    <mergeCell ref="AD57:AE57"/>
    <mergeCell ref="AD59:AE59"/>
    <mergeCell ref="AD60:AE60"/>
    <mergeCell ref="AD62:AE62"/>
    <mergeCell ref="AD65:AE65"/>
    <mergeCell ref="AD66:AE66"/>
    <mergeCell ref="AD68:AE68"/>
    <mergeCell ref="AD69:AE69"/>
    <mergeCell ref="AD64:AE64"/>
    <mergeCell ref="AD67:AE67"/>
    <mergeCell ref="AD29:AE29"/>
    <mergeCell ref="AD30:AE30"/>
    <mergeCell ref="AD32:AE32"/>
    <mergeCell ref="AD33:AE33"/>
    <mergeCell ref="AD31:AE31"/>
    <mergeCell ref="AD44:AE44"/>
    <mergeCell ref="AD45:AE45"/>
    <mergeCell ref="AD47:AE47"/>
    <mergeCell ref="AD48:AE48"/>
    <mergeCell ref="AD46:AE46"/>
    <mergeCell ref="AD34:AE34"/>
    <mergeCell ref="AD37:AE37"/>
    <mergeCell ref="AD40:AE40"/>
    <mergeCell ref="AD43:AE43"/>
    <mergeCell ref="K41:M41"/>
    <mergeCell ref="K40:M40"/>
    <mergeCell ref="K39:M39"/>
    <mergeCell ref="K35:M35"/>
    <mergeCell ref="AD42:AE42"/>
    <mergeCell ref="AD35:AE35"/>
    <mergeCell ref="AD36:AE36"/>
    <mergeCell ref="AD38:AE38"/>
    <mergeCell ref="AD39:AE39"/>
    <mergeCell ref="AD41:AE41"/>
    <mergeCell ref="AD50:AE50"/>
    <mergeCell ref="AD51:AE51"/>
    <mergeCell ref="AD53:AE53"/>
    <mergeCell ref="AD54:AE54"/>
    <mergeCell ref="F48:G48"/>
    <mergeCell ref="F49:G49"/>
    <mergeCell ref="AD49:AE49"/>
    <mergeCell ref="AD52:AE52"/>
    <mergeCell ref="F46:G46"/>
    <mergeCell ref="F51:G51"/>
    <mergeCell ref="K33:M33"/>
    <mergeCell ref="K36:M36"/>
    <mergeCell ref="F47:G47"/>
    <mergeCell ref="K38:M38"/>
    <mergeCell ref="K37:M37"/>
    <mergeCell ref="K34:M34"/>
    <mergeCell ref="R27:S27"/>
    <mergeCell ref="U27:W27"/>
    <mergeCell ref="Y27:AA27"/>
    <mergeCell ref="K28:M28"/>
    <mergeCell ref="AD28:AE28"/>
    <mergeCell ref="AD27:AE27"/>
    <mergeCell ref="I14:J14"/>
    <mergeCell ref="I15:J15"/>
    <mergeCell ref="K30:M30"/>
    <mergeCell ref="K31:M31"/>
    <mergeCell ref="K32:M32"/>
    <mergeCell ref="K29:M29"/>
    <mergeCell ref="I20:J20"/>
    <mergeCell ref="AF5:AF6"/>
    <mergeCell ref="I16:J16"/>
    <mergeCell ref="I17:J17"/>
    <mergeCell ref="I18:J18"/>
    <mergeCell ref="I19:J19"/>
    <mergeCell ref="I7:J7"/>
    <mergeCell ref="I8:J8"/>
    <mergeCell ref="I9:J9"/>
    <mergeCell ref="I10:J10"/>
    <mergeCell ref="H5:J6"/>
    <mergeCell ref="AE5:AE6"/>
    <mergeCell ref="K5:T5"/>
    <mergeCell ref="U5:AD5"/>
    <mergeCell ref="I11:J11"/>
    <mergeCell ref="I12:J12"/>
    <mergeCell ref="I13:J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8</xdr:col>
                    <xdr:colOff>571500</xdr:colOff>
                    <xdr:row>0</xdr:row>
                    <xdr:rowOff>0</xdr:rowOff>
                  </from>
                  <to>
                    <xdr:col>8</xdr:col>
                    <xdr:colOff>2295525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69B0-0FAD-4390-9DE7-4919F028C686}">
  <dimension ref="A1:AC53"/>
  <sheetViews>
    <sheetView showGridLines="0" topLeftCell="L1" zoomScale="80" zoomScaleNormal="80" workbookViewId="0">
      <selection activeCell="A33" sqref="A33"/>
    </sheetView>
  </sheetViews>
  <sheetFormatPr baseColWidth="10" defaultColWidth="11.42578125" defaultRowHeight="12.75" x14ac:dyDescent="0.2"/>
  <cols>
    <col min="1" max="1" width="17" style="1" bestFit="1" customWidth="1"/>
    <col min="2" max="9" width="10.28515625" style="1" customWidth="1"/>
    <col min="10" max="10" width="11.42578125" style="1"/>
    <col min="11" max="11" width="11.42578125" style="1" customWidth="1"/>
    <col min="12" max="13" width="11.42578125" style="1"/>
    <col min="14" max="16" width="11.28515625" style="1" customWidth="1"/>
    <col min="17" max="24" width="10.28515625" style="1" customWidth="1"/>
    <col min="25" max="25" width="11.28515625" style="1" customWidth="1"/>
    <col min="26" max="26" width="13" style="1" customWidth="1"/>
    <col min="27" max="27" width="13.140625" style="1" bestFit="1" customWidth="1"/>
    <col min="28" max="28" width="11.5703125" style="1" bestFit="1" customWidth="1"/>
    <col min="29" max="29" width="13.140625" style="1" bestFit="1" customWidth="1"/>
    <col min="30" max="16384" width="11.42578125" style="1"/>
  </cols>
  <sheetData>
    <row r="1" spans="1:29" x14ac:dyDescent="0.2">
      <c r="B1" s="1" t="s">
        <v>13</v>
      </c>
      <c r="C1" s="1" t="s">
        <v>74</v>
      </c>
    </row>
    <row r="2" spans="1:29" x14ac:dyDescent="0.2">
      <c r="A2" s="1" t="s">
        <v>29</v>
      </c>
      <c r="B2" s="1">
        <f>Cu!M2</f>
        <v>527</v>
      </c>
      <c r="C2" s="1">
        <f>B+273</f>
        <v>800</v>
      </c>
      <c r="F2" s="2"/>
      <c r="G2" s="2"/>
    </row>
    <row r="3" spans="1:29" x14ac:dyDescent="0.2">
      <c r="A3" s="1" t="s">
        <v>30</v>
      </c>
      <c r="B3" s="1">
        <v>25</v>
      </c>
      <c r="C3" s="1">
        <f>B3+273</f>
        <v>298</v>
      </c>
    </row>
    <row r="5" spans="1:29" x14ac:dyDescent="0.2">
      <c r="C5" s="3" t="s">
        <v>84</v>
      </c>
    </row>
    <row r="6" spans="1:29" x14ac:dyDescent="0.2">
      <c r="C6" s="4"/>
      <c r="D6" s="5" t="s">
        <v>8</v>
      </c>
      <c r="E6" s="6" t="s">
        <v>7</v>
      </c>
      <c r="F6" s="6" t="s">
        <v>6</v>
      </c>
      <c r="G6" s="7" t="s">
        <v>4</v>
      </c>
    </row>
    <row r="7" spans="1:29" x14ac:dyDescent="0.2">
      <c r="C7" s="8" t="s">
        <v>59</v>
      </c>
      <c r="D7" s="9">
        <v>0</v>
      </c>
      <c r="E7" s="10">
        <v>1</v>
      </c>
      <c r="F7" s="10">
        <v>-2</v>
      </c>
      <c r="G7" s="11">
        <v>2</v>
      </c>
    </row>
    <row r="8" spans="1:29" x14ac:dyDescent="0.2">
      <c r="C8" s="12" t="s">
        <v>14</v>
      </c>
      <c r="D8" s="13">
        <f>10^0</f>
        <v>1</v>
      </c>
      <c r="E8" s="14">
        <f>10^-3</f>
        <v>1E-3</v>
      </c>
      <c r="F8" s="14">
        <f>10^5</f>
        <v>100000</v>
      </c>
      <c r="G8" s="15">
        <f>10^-6</f>
        <v>9.9999999999999995E-7</v>
      </c>
    </row>
    <row r="10" spans="1:29" ht="15" x14ac:dyDescent="0.25">
      <c r="B10" s="1" t="s">
        <v>85</v>
      </c>
      <c r="K10" s="1" t="s">
        <v>86</v>
      </c>
      <c r="O10" s="1" t="s">
        <v>87</v>
      </c>
      <c r="Z10" s="84" t="s">
        <v>88</v>
      </c>
    </row>
    <row r="11" spans="1:29" ht="16.5" x14ac:dyDescent="0.2">
      <c r="A11" s="16" t="s">
        <v>0</v>
      </c>
      <c r="B11" s="17" t="s">
        <v>60</v>
      </c>
      <c r="C11" s="18" t="s">
        <v>61</v>
      </c>
      <c r="D11" s="18" t="s">
        <v>62</v>
      </c>
      <c r="E11" s="18" t="s">
        <v>63</v>
      </c>
      <c r="F11" s="18" t="s">
        <v>64</v>
      </c>
      <c r="G11" s="18" t="s">
        <v>65</v>
      </c>
      <c r="H11" s="18" t="s">
        <v>46</v>
      </c>
      <c r="I11" s="19" t="s">
        <v>47</v>
      </c>
      <c r="K11" s="17" t="s">
        <v>26</v>
      </c>
      <c r="L11" s="18" t="s">
        <v>27</v>
      </c>
      <c r="M11" s="19" t="s">
        <v>28</v>
      </c>
      <c r="O11" s="17" t="s">
        <v>46</v>
      </c>
      <c r="P11" s="18" t="s">
        <v>47</v>
      </c>
      <c r="Q11" s="18" t="s">
        <v>60</v>
      </c>
      <c r="R11" s="18" t="s">
        <v>61</v>
      </c>
      <c r="S11" s="18" t="s">
        <v>62</v>
      </c>
      <c r="T11" s="18" t="s">
        <v>63</v>
      </c>
      <c r="U11" s="18" t="s">
        <v>64</v>
      </c>
      <c r="V11" s="18" t="s">
        <v>65</v>
      </c>
      <c r="W11" s="18" t="s">
        <v>26</v>
      </c>
      <c r="X11" s="19" t="s">
        <v>28</v>
      </c>
      <c r="Y11" s="20"/>
      <c r="Z11" s="17" t="s">
        <v>66</v>
      </c>
      <c r="AA11" s="18" t="s">
        <v>75</v>
      </c>
      <c r="AB11" s="18" t="s">
        <v>76</v>
      </c>
      <c r="AC11" s="19" t="s">
        <v>77</v>
      </c>
    </row>
    <row r="12" spans="1:29" x14ac:dyDescent="0.2">
      <c r="A12" s="21" t="s">
        <v>5</v>
      </c>
      <c r="B12" s="9">
        <v>0</v>
      </c>
      <c r="C12" s="10">
        <v>7.9230403900146396</v>
      </c>
      <c r="D12" s="10">
        <v>5.2551889419555664</v>
      </c>
      <c r="E12" s="10">
        <v>3.6576235294342041</v>
      </c>
      <c r="F12" s="10">
        <v>-0.17599649727344513</v>
      </c>
      <c r="G12" s="10">
        <v>-3.4504799842834473</v>
      </c>
      <c r="H12" s="10">
        <v>298</v>
      </c>
      <c r="I12" s="11">
        <v>400</v>
      </c>
      <c r="J12" s="2"/>
      <c r="K12" s="22">
        <f>D12*(I12-H12)+E12*$E$8/2*(I12^2-H12^2)-F12*$F$8*(I12^(-1)-H12^(-1))+G12*$G$8/3*(I12^3-H12^3)</f>
        <v>608.00037669702738</v>
      </c>
      <c r="L12" s="23">
        <f>K12/1000</f>
        <v>0.60800037669702733</v>
      </c>
      <c r="M12" s="24">
        <f>D12*(LN(I12)-LN(H12))+E12*$E$8*(I12-H12)-F12*$F$8/2*(I12^(-2)-H12^(-2))+G12*$G$8/2*(I12^2-H12^2)</f>
        <v>1.7531291982204356</v>
      </c>
      <c r="N12" s="2"/>
      <c r="O12" s="25">
        <f>LOOKUP($C$2,$H12:$I15,H12:H15)</f>
        <v>800</v>
      </c>
      <c r="P12" s="26">
        <f>TE</f>
        <v>800</v>
      </c>
      <c r="Q12" s="26">
        <f>LOOKUP($C$2,$H12:$I15,B12:B15)</f>
        <v>0</v>
      </c>
      <c r="R12" s="26">
        <f>LOOKUP($C$2,$H12:$I15,C12:C15)</f>
        <v>0</v>
      </c>
      <c r="S12" s="26">
        <f>LOOKUP($C$2,$H12:$I15,D12:D15)*$D$8</f>
        <v>10.613409996032715</v>
      </c>
      <c r="T12" s="26">
        <f>LOOKUP($C$2,$H12:$I15,E12:E15)*$E$8</f>
        <v>-7.0307455062866208E-3</v>
      </c>
      <c r="U12" s="27">
        <f>LOOKUP($C$2,$H12:$I15,F12:F15)*$F$8</f>
        <v>-569817.16156005859</v>
      </c>
      <c r="V12" s="26">
        <f>LOOKUP($C$2,$H12:$I15,G12:G15)*$G$8</f>
        <v>3.8456439971923827E-6</v>
      </c>
      <c r="W12" s="26">
        <f>S12*(P12-O12)+T12/2*(P12^2-O12^2)-U12*(P12^(-1)-O12^(-1))+V12/3*(P12^3-O12^3)</f>
        <v>0</v>
      </c>
      <c r="X12" s="28">
        <f>S12*(LN(P12)-LN(O12))+T12*(P12-O12)-U12/2*(P12^(-2)-O12^(-2))+V12/2*(P12^2-O12^2)</f>
        <v>0</v>
      </c>
      <c r="Y12" s="2" t="str">
        <f>A11</f>
        <v>Cu</v>
      </c>
      <c r="Z12" s="29">
        <f>S12+T12*TE^$E$7+U12*TE^$F$7+V12*TE^$G$7</f>
        <v>6.5596864342689516</v>
      </c>
      <c r="AA12" s="30" cm="1">
        <f t="array" ref="AA12">_xlfn.IFS(TE&lt;=I12,W12/1000+B12,TE&lt;=I13,W12/1000+B12+B13+L12,TE&lt;=I14,W12/1000+B12+B13+B14+L12+L13,TE&lt;=I15,W12/1000+B12+B13+B14+B15+L12+L13+L14)</f>
        <v>0.60800037669702733</v>
      </c>
      <c r="AB12" s="30" cm="1">
        <f t="array" ref="AB12">_xlfn.IFS(TE&lt;=I12,(C12+X12)/1000,TE&lt;=I13,(C12+X12+M12+C13)/1000,TE&lt;=I14,(C12+X12+M12+M13+C13+C14)/1000,TE&lt;=I15,(C12+X12+M12+M13+M14+C13+C14+C15)/1000)</f>
        <v>9.6761695882350753E-3</v>
      </c>
      <c r="AC12" s="31">
        <f>AA12-TE*AB12</f>
        <v>-7.1329352938910331</v>
      </c>
    </row>
    <row r="13" spans="1:29" x14ac:dyDescent="0.2">
      <c r="A13" s="21" t="s">
        <v>5</v>
      </c>
      <c r="B13" s="32">
        <v>0</v>
      </c>
      <c r="C13" s="33">
        <v>0</v>
      </c>
      <c r="D13" s="33">
        <v>6.2172317504882813</v>
      </c>
      <c r="E13" s="33">
        <v>-2.6301978155970573E-2</v>
      </c>
      <c r="F13" s="33">
        <v>-0.4123072624206543</v>
      </c>
      <c r="G13" s="33">
        <v>0.66917514801025391</v>
      </c>
      <c r="H13" s="33">
        <v>400</v>
      </c>
      <c r="I13" s="34">
        <v>800</v>
      </c>
      <c r="J13" s="2"/>
      <c r="K13" s="35">
        <f>D13*(I13-H13)+E13*$E$8/2*(I13^2-H13^2)-F13*$F$8*(I13^(-1)-H13^(-1))+G13*$G$8/3*(I13^3-H13^3)</f>
        <v>2528.9719730714955</v>
      </c>
      <c r="L13" s="36">
        <f t="shared" ref="L13:L15" si="0">K13/1000</f>
        <v>2.5289719730714957</v>
      </c>
      <c r="M13" s="37">
        <f>D13*(LN(I13)-LN(H13))+E13*$E$8*(I13-H13)-F13*$F$8/2*(I13^(-2)-H13^(-2))+G13*$G$8/2*(I13^2-H13^2)</f>
        <v>4.3629033883689576</v>
      </c>
      <c r="N13" s="2"/>
      <c r="O13" s="38"/>
      <c r="P13" s="38"/>
      <c r="Q13" s="39"/>
      <c r="R13" s="39"/>
      <c r="S13" s="39"/>
      <c r="T13" s="39"/>
      <c r="U13" s="40"/>
      <c r="V13" s="39"/>
      <c r="W13" s="39"/>
      <c r="X13" s="39"/>
      <c r="Y13" s="2"/>
      <c r="Z13" s="36"/>
      <c r="AA13" s="36"/>
      <c r="AB13" s="36"/>
      <c r="AC13" s="36"/>
    </row>
    <row r="14" spans="1:29" x14ac:dyDescent="0.2">
      <c r="A14" s="21" t="s">
        <v>5</v>
      </c>
      <c r="B14" s="32">
        <v>0</v>
      </c>
      <c r="C14" s="33">
        <v>0</v>
      </c>
      <c r="D14" s="33">
        <v>10.613409996032715</v>
      </c>
      <c r="E14" s="33">
        <v>-7.0307455062866211</v>
      </c>
      <c r="F14" s="33">
        <v>-5.6981716156005859</v>
      </c>
      <c r="G14" s="33">
        <v>3.8456439971923828</v>
      </c>
      <c r="H14" s="33">
        <v>800</v>
      </c>
      <c r="I14" s="34">
        <v>1357.77001953125</v>
      </c>
      <c r="J14" s="2"/>
      <c r="K14" s="35">
        <f>D14*(I14-H14)+E14*$E$8/2*(I14^2-H14^2)-F14*$F$8*(I14^(-1)-H14^(-1))+G14*$G$8/3*(I14^3-H14^3)</f>
        <v>3948.7092877004288</v>
      </c>
      <c r="L14" s="36">
        <f t="shared" si="0"/>
        <v>3.9487092877004288</v>
      </c>
      <c r="M14" s="37">
        <f>D14*(LN(I14)-LN(H14))+E14*$E$8*(I14-H14)-F14*$F$8/2*(I14^(-2)-H14^(-2))+G14*$G$8/2*(I14^2-H14^2)</f>
        <v>3.7163858893382189</v>
      </c>
      <c r="N14" s="2"/>
      <c r="O14" s="39"/>
      <c r="P14" s="39"/>
      <c r="Q14" s="39"/>
      <c r="R14" s="39"/>
      <c r="S14" s="39"/>
      <c r="T14" s="39"/>
      <c r="U14" s="40"/>
      <c r="V14" s="39"/>
      <c r="W14" s="39"/>
      <c r="X14" s="39"/>
      <c r="Y14" s="2"/>
      <c r="Z14" s="36"/>
      <c r="AA14" s="36"/>
      <c r="AB14" s="36"/>
      <c r="AC14" s="36"/>
    </row>
    <row r="15" spans="1:29" x14ac:dyDescent="0.2">
      <c r="A15" s="21" t="s">
        <v>3</v>
      </c>
      <c r="B15" s="41">
        <v>3.1700000762939453</v>
      </c>
      <c r="C15" s="42">
        <v>2.3346099853515625</v>
      </c>
      <c r="D15" s="42">
        <v>7.5047798156738281</v>
      </c>
      <c r="E15" s="42">
        <v>-1.9493822039686269E-29</v>
      </c>
      <c r="F15" s="42">
        <v>-5.2287553542655163E-28</v>
      </c>
      <c r="G15" s="42">
        <v>2.101678010739128E-30</v>
      </c>
      <c r="H15" s="42">
        <v>1357.77001953125</v>
      </c>
      <c r="I15" s="43">
        <v>6000</v>
      </c>
      <c r="J15" s="2"/>
      <c r="K15" s="29">
        <f>D15*(I15-H15)+E15*$E$8/2*(I15^2-H15^2)-F15*$F$8*(I15^(-1)-H15^(-1))+G15*$G$8/3*(I15^3-H15^3)</f>
        <v>34838.913857137784</v>
      </c>
      <c r="L15" s="30">
        <f t="shared" si="0"/>
        <v>34.838913857137783</v>
      </c>
      <c r="M15" s="44">
        <f>D15*(LN(I15)-LN(H15))+E15*$E$8*(I15-H15)-F15*$F$8/2*(I15^(-2)-H15^(-2))+G15*$G$8/2*(I15^2-H15^2)</f>
        <v>11.151470954413195</v>
      </c>
      <c r="N15" s="2"/>
      <c r="O15" s="39"/>
      <c r="P15" s="39"/>
      <c r="Q15" s="39"/>
      <c r="R15" s="39"/>
      <c r="S15" s="39"/>
      <c r="T15" s="39"/>
      <c r="U15" s="40"/>
      <c r="V15" s="39"/>
      <c r="W15" s="39"/>
      <c r="X15" s="39"/>
      <c r="Y15" s="2"/>
      <c r="Z15" s="36"/>
      <c r="AA15" s="36"/>
      <c r="AB15" s="36"/>
      <c r="AC15" s="36"/>
    </row>
    <row r="16" spans="1:29" x14ac:dyDescent="0.2">
      <c r="A16" s="16" t="s">
        <v>31</v>
      </c>
      <c r="B16" s="45"/>
      <c r="C16" s="45"/>
      <c r="D16" s="45"/>
      <c r="E16" s="45"/>
      <c r="F16" s="45"/>
      <c r="G16" s="45"/>
      <c r="H16" s="45"/>
      <c r="I16" s="45"/>
      <c r="J16" s="2"/>
      <c r="K16" s="45"/>
      <c r="L16" s="45"/>
      <c r="M16" s="45"/>
      <c r="N16" s="2"/>
      <c r="O16" s="46"/>
      <c r="P16" s="46"/>
      <c r="Q16" s="38"/>
      <c r="R16" s="38"/>
      <c r="S16" s="38"/>
      <c r="T16" s="38"/>
      <c r="U16" s="47"/>
      <c r="V16" s="38"/>
      <c r="W16" s="46"/>
      <c r="X16" s="46"/>
      <c r="Y16" s="2"/>
      <c r="Z16" s="48"/>
      <c r="AA16" s="48"/>
      <c r="AB16" s="48"/>
      <c r="AC16" s="48"/>
    </row>
    <row r="17" spans="1:29" x14ac:dyDescent="0.2">
      <c r="A17" s="21" t="s">
        <v>5</v>
      </c>
      <c r="B17" s="49">
        <v>-19</v>
      </c>
      <c r="C17" s="50">
        <v>28.900094985961914</v>
      </c>
      <c r="D17" s="50">
        <v>12.771925926208496</v>
      </c>
      <c r="E17" s="50">
        <v>18.274066925048828</v>
      </c>
      <c r="F17" s="50">
        <v>-2.7853729203343391E-2</v>
      </c>
      <c r="G17" s="50">
        <v>0.58689051866531372</v>
      </c>
      <c r="H17" s="50">
        <v>298</v>
      </c>
      <c r="I17" s="51">
        <v>376</v>
      </c>
      <c r="J17" s="2"/>
      <c r="K17" s="22">
        <f>D17*(I17-H17)+E17*$E$8/2*(I17^2-H17^2)-F17*$F$8*(I17^(-1)-H17^(-1))+G17*$G$8/3*(I17^3-H17^3)</f>
        <v>1479.8454727236692</v>
      </c>
      <c r="L17" s="23">
        <f>K17/1000</f>
        <v>1.4798454727236692</v>
      </c>
      <c r="M17" s="24">
        <f>D17*(LN(I17)-LN(H17))+E17*$E$8*(I17-H17)-F17*$F$8/2*(I17^(-2)-H17^(-2))+G17*$G$8/2*(I17^2-H17^2)</f>
        <v>4.4043897723309371</v>
      </c>
      <c r="N17" s="2"/>
      <c r="O17" s="25">
        <f>LOOKUP($C$2,$H17:$I20,H17:H20)</f>
        <v>717</v>
      </c>
      <c r="P17" s="26">
        <f>TE</f>
        <v>800</v>
      </c>
      <c r="Q17" s="26">
        <f>LOOKUP($C$2,$H17:$I20,B17:B20)</f>
        <v>0.29000955820083618</v>
      </c>
      <c r="R17" s="26">
        <f>LOOKUP($C$2,$H17:$I20,C17:C20)</f>
        <v>0.40439769625663757</v>
      </c>
      <c r="S17" s="26">
        <f>LOOKUP($C$2,$H17:$I20,D17:D20)*D$8</f>
        <v>20.320028305053711</v>
      </c>
      <c r="T17" s="26">
        <f>LOOKUP($C$2,$H17:$I20,E17:E20)*E$8</f>
        <v>0</v>
      </c>
      <c r="U17" s="27">
        <f>LOOKUP($C$2,$H17:$I20,F17:F20)*F$8</f>
        <v>0</v>
      </c>
      <c r="V17" s="26">
        <f>LOOKUP($C$2,$H17:$I20,G17:G20)*G$8</f>
        <v>0</v>
      </c>
      <c r="W17" s="26">
        <f>S17*(P17-O17)+T17/2*(P17^2-O17^2)-U17*(P17^(-1)-O17^(-1))+V17/3*(P17^3-O17^3)</f>
        <v>1686.562349319458</v>
      </c>
      <c r="X17" s="28">
        <f>S17*(LN(P17)-LN(O17))+T17*(P17-O17)-U17/2*(P17^(-2)-O17^(-2))+V17/2*(P17^2-O17^2)</f>
        <v>2.2257723256471644</v>
      </c>
      <c r="Y17" s="2" t="str">
        <f>A16</f>
        <v>Cu₂S</v>
      </c>
      <c r="Z17" s="52">
        <f>S17+T17*TE^$E$7+U17*TE^$F$7+V17*TE^$G$7</f>
        <v>20.320028305053711</v>
      </c>
      <c r="AA17" s="53" cm="1">
        <f t="array" ref="AA17">_xlfn.IFS(TE&lt;=I17,W17/1000+B17,TE&lt;=I18,W17/1000+B17+B18+L17,TE&lt;=I19,W17/1000+B17+B18+B19+L17+L18,TE&lt;=I20,W17/1000+B17+B18+B19+B20+L17+L18+L19)</f>
        <v>-6.8613438753633718</v>
      </c>
      <c r="AB17" s="53" cm="1">
        <f t="array" ref="AB17">_xlfn.IFS(TE&lt;=I17,(C17+X17)/1000,TE&lt;=I18,(C17+X17+M17+C18)/1000,TE&lt;=I19,(C17+X17+M17+M18+C18+C19)/1000,TE&lt;=I20,(C17+X17+M17+M18+M19+C18+C19+C20)/1000)</f>
        <v>5.3161318981631497E-2</v>
      </c>
      <c r="AC17" s="54">
        <f>AA17-TE*AB17</f>
        <v>-49.390399060668571</v>
      </c>
    </row>
    <row r="18" spans="1:29" x14ac:dyDescent="0.2">
      <c r="A18" s="21" t="s">
        <v>5</v>
      </c>
      <c r="B18" s="55">
        <v>0.92000478506088257</v>
      </c>
      <c r="C18" s="56">
        <v>2.4469406604766846</v>
      </c>
      <c r="D18" s="56">
        <v>26.802015304565401</v>
      </c>
      <c r="E18" s="56">
        <v>-7.4028415679931641</v>
      </c>
      <c r="F18" s="56">
        <v>-1.0972753167152405E-2</v>
      </c>
      <c r="G18" s="56">
        <v>3.5210326313972501E-2</v>
      </c>
      <c r="H18" s="56">
        <v>376</v>
      </c>
      <c r="I18" s="57">
        <v>717</v>
      </c>
      <c r="J18" s="2"/>
      <c r="K18" s="35">
        <f>D18*(I18-H18)+E18*$E$8/2*(I18^2-H18^2)-F18*$F$8*(I18^(-1)-H18^(-1))+G18*$G$8/3*(I18^3-H18^3)</f>
        <v>7762.2339593317811</v>
      </c>
      <c r="L18" s="36">
        <f t="shared" ref="L18:L20" si="1">K18/1000</f>
        <v>7.7622339593317813</v>
      </c>
      <c r="M18" s="37">
        <f>D18*(LN(I18)-LN(H18))+E18*$E$8*(I18-H18)-F18*$F$8/2*(I18^(-2)-H18^(-2))+G18*$G$8/2*(I18^2-H18^2)</f>
        <v>14.779723540958155</v>
      </c>
      <c r="N18" s="2"/>
      <c r="O18" s="39"/>
      <c r="P18" s="39"/>
      <c r="Q18" s="39"/>
      <c r="R18" s="39"/>
      <c r="S18" s="39"/>
      <c r="T18" s="39"/>
      <c r="U18" s="40"/>
      <c r="V18" s="39"/>
      <c r="W18" s="39"/>
      <c r="X18" s="39"/>
      <c r="Y18" s="2"/>
      <c r="Z18" s="36"/>
      <c r="AA18" s="36"/>
      <c r="AB18" s="36"/>
      <c r="AC18" s="36"/>
    </row>
    <row r="19" spans="1:29" x14ac:dyDescent="0.2">
      <c r="A19" s="21" t="s">
        <v>5</v>
      </c>
      <c r="B19" s="55">
        <v>0.29000955820083618</v>
      </c>
      <c r="C19" s="56">
        <v>0.40439769625663757</v>
      </c>
      <c r="D19" s="56">
        <v>20.320028305053711</v>
      </c>
      <c r="E19" s="56">
        <v>0</v>
      </c>
      <c r="F19" s="56">
        <v>0</v>
      </c>
      <c r="G19" s="56">
        <v>0</v>
      </c>
      <c r="H19" s="56">
        <v>717</v>
      </c>
      <c r="I19" s="57">
        <v>1402</v>
      </c>
      <c r="J19" s="2"/>
      <c r="K19" s="35">
        <f>D19*(I19-H19)+E19*$E$8/2*(I19^2-H19^2)-F19*$F$8*(I19^(-1)-H19^(-1))+G19*$G$8/3*(I19^3-H19^3)</f>
        <v>13919.219388961792</v>
      </c>
      <c r="L19" s="36">
        <f t="shared" si="1"/>
        <v>13.919219388961793</v>
      </c>
      <c r="M19" s="37">
        <f>D19*(LN(I19)-LN(H19))+E19*$E$8*(I19-H19)-F19*$F$8/2*(I19^(-2)-H19^(-2))+G19*$G$8/2*(I19^2-H19^2)</f>
        <v>13.626188873317718</v>
      </c>
      <c r="N19" s="2"/>
      <c r="O19" s="39"/>
      <c r="P19" s="39"/>
      <c r="Q19" s="39"/>
      <c r="R19" s="39"/>
      <c r="S19" s="39"/>
      <c r="T19" s="39"/>
      <c r="U19" s="40"/>
      <c r="V19" s="39"/>
      <c r="W19" s="39"/>
      <c r="X19" s="39"/>
      <c r="Y19" s="2"/>
      <c r="Z19" s="36"/>
      <c r="AA19" s="36"/>
      <c r="AB19" s="36"/>
      <c r="AC19" s="36"/>
    </row>
    <row r="20" spans="1:29" x14ac:dyDescent="0.2">
      <c r="A20" s="21" t="s">
        <v>3</v>
      </c>
      <c r="B20" s="58">
        <v>2.2999522686004639</v>
      </c>
      <c r="C20" s="59">
        <v>1.6405353546142578</v>
      </c>
      <c r="D20" s="59">
        <v>20</v>
      </c>
      <c r="E20" s="59">
        <v>0</v>
      </c>
      <c r="F20" s="59">
        <v>0</v>
      </c>
      <c r="G20" s="59">
        <v>0</v>
      </c>
      <c r="H20" s="59">
        <v>1402</v>
      </c>
      <c r="I20" s="60">
        <v>2000</v>
      </c>
      <c r="J20" s="2"/>
      <c r="K20" s="29">
        <f>D20*(I20-H20)+E20*$E$8/2*(I20^2-H20^2)-F20*$F$8*(I20^(-1)-H20^(-1))+G20*$G$8/3*(I20^3-H20^3)</f>
        <v>11960</v>
      </c>
      <c r="L20" s="30">
        <f t="shared" si="1"/>
        <v>11.96</v>
      </c>
      <c r="M20" s="44">
        <f>D20*(LN(I20)-LN(H20))+E20*$E$8*(I20-H20)-F20*$F$8/2*(I20^(-2)-H20^(-2))+G20*$G$8/2*(I20^2-H20^2)</f>
        <v>7.1049478389509346</v>
      </c>
      <c r="N20" s="2"/>
      <c r="O20" s="39"/>
      <c r="P20" s="39"/>
      <c r="Q20" s="39"/>
      <c r="R20" s="39"/>
      <c r="S20" s="39"/>
      <c r="T20" s="39"/>
      <c r="U20" s="40"/>
      <c r="V20" s="39"/>
      <c r="W20" s="39"/>
      <c r="X20" s="39"/>
      <c r="Y20" s="2"/>
      <c r="Z20" s="36"/>
      <c r="AA20" s="36"/>
      <c r="AB20" s="36"/>
      <c r="AC20" s="36"/>
    </row>
    <row r="21" spans="1:29" x14ac:dyDescent="0.2">
      <c r="A21" s="61" t="s">
        <v>1</v>
      </c>
      <c r="B21" s="45"/>
      <c r="C21" s="45"/>
      <c r="D21" s="45"/>
      <c r="E21" s="45"/>
      <c r="F21" s="45"/>
      <c r="G21" s="45"/>
      <c r="H21" s="45"/>
      <c r="I21" s="45"/>
      <c r="J21" s="2"/>
      <c r="K21" s="45"/>
      <c r="L21" s="45"/>
      <c r="M21" s="45"/>
      <c r="N21" s="2"/>
      <c r="O21" s="46"/>
      <c r="P21" s="46"/>
      <c r="Q21" s="38"/>
      <c r="R21" s="38"/>
      <c r="S21" s="38"/>
      <c r="T21" s="38"/>
      <c r="U21" s="47"/>
      <c r="V21" s="38"/>
      <c r="W21" s="46"/>
      <c r="X21" s="46"/>
      <c r="Y21" s="2"/>
      <c r="Z21" s="48"/>
      <c r="AA21" s="48"/>
      <c r="AB21" s="48"/>
      <c r="AC21" s="48"/>
    </row>
    <row r="22" spans="1:29" x14ac:dyDescent="0.2">
      <c r="A22" s="62" t="s">
        <v>5</v>
      </c>
      <c r="B22" s="63">
        <v>-13.384321212768555</v>
      </c>
      <c r="C22" s="64">
        <v>16.077915191650391</v>
      </c>
      <c r="D22" s="64">
        <v>10.43769359588623</v>
      </c>
      <c r="E22" s="64">
        <v>4.8126864433288574</v>
      </c>
      <c r="F22" s="64">
        <v>-0.50228965282440186</v>
      </c>
      <c r="G22" s="64">
        <v>-1.2284894473850727E-3</v>
      </c>
      <c r="H22" s="64">
        <v>298</v>
      </c>
      <c r="I22" s="65">
        <v>2000</v>
      </c>
      <c r="J22" s="2"/>
      <c r="K22" s="52">
        <f>D22*(I22-H22)+E22*$E$8/2*(I22^2-H22^2)-F22*$F$8*(I22^(-1)-H22^(-1))+G22*$G$8/3*(I22^3-H22^3)</f>
        <v>27029.930256155465</v>
      </c>
      <c r="L22" s="53">
        <f>K22/1000</f>
        <v>27.029930256155463</v>
      </c>
      <c r="M22" s="66">
        <f>D22*(LN(I22)-LN(H22))+E22*$E$8*(I22-H22)-F22*$F$8/2*(I22^(-2)-H22^(-2))+G22*$G$8/2*(I22^2-H22^2)</f>
        <v>27.783635229990786</v>
      </c>
      <c r="N22" s="2"/>
      <c r="O22" s="25">
        <f ca="1">LOOKUP($C$2,$H22:$I22,H22)</f>
        <v>298</v>
      </c>
      <c r="P22" s="26">
        <f>TE</f>
        <v>800</v>
      </c>
      <c r="Q22" s="26">
        <f ca="1">LOOKUP($C$2,$H22:$I22,B22)</f>
        <v>-13.384321212768555</v>
      </c>
      <c r="R22" s="26">
        <f ca="1">LOOKUP($C$2,$H22:$I22,C22)</f>
        <v>16.077915191650391</v>
      </c>
      <c r="S22" s="26">
        <f ca="1">LOOKUP($C$2,$H22:$I22,D22)*D$8</f>
        <v>10.43769359588623</v>
      </c>
      <c r="T22" s="26">
        <f ca="1">LOOKUP($C$2,$H22:$I22,E22)*E$8</f>
        <v>4.8126864433288572E-3</v>
      </c>
      <c r="U22" s="27">
        <f ca="1">LOOKUP($C$2,$H22:$I22,F22)*F$8</f>
        <v>-50228.965282440186</v>
      </c>
      <c r="V22" s="26">
        <f ca="1">LOOKUP($C$2,$H22:$I22,G22)*G$8</f>
        <v>-1.2284894473850726E-9</v>
      </c>
      <c r="W22" s="26">
        <f ca="1">S22*(P22-O22)+T22/2*(P22^2-O22^2)-U22*(P22^(-1)-O22^(-1))+V22/3*(P22^3-O22^3)</f>
        <v>6460.1227499220113</v>
      </c>
      <c r="X22" s="28">
        <f ca="1">S22*(LN(P22)-LN(O22))+T22*(P22-O22)-U22/2*(P22^(-2)-O22^(-2))+V22/2*(P22^2-O22^2)</f>
        <v>12.479476214681588</v>
      </c>
      <c r="Y22" s="2" t="str">
        <f>A21</f>
        <v>CuS</v>
      </c>
      <c r="Z22" s="52">
        <f ca="1">S22+T22*TE^$E$7+U22*TE^$F$7+V22*TE^$G$7</f>
        <v>14.208573759049177</v>
      </c>
      <c r="AA22" s="53" cm="1">
        <f t="array" aca="1" ref="AA22" ca="1">_xlfn.IFS(TE&lt;=I22,W22/1000+B22)</f>
        <v>-6.9241984628465438</v>
      </c>
      <c r="AB22" s="53" cm="1">
        <f t="array" aca="1" ref="AB22" ca="1">_xlfn.IFS(TE&lt;=I22,(C22+X22)/1000)</f>
        <v>2.855739140633198E-2</v>
      </c>
      <c r="AC22" s="54">
        <f ca="1">AA22-TE*AB22</f>
        <v>-29.770111587912126</v>
      </c>
    </row>
    <row r="23" spans="1:29" x14ac:dyDescent="0.2">
      <c r="A23" s="61" t="s">
        <v>32</v>
      </c>
      <c r="B23" s="45"/>
      <c r="C23" s="45"/>
      <c r="D23" s="45"/>
      <c r="E23" s="45"/>
      <c r="F23" s="45"/>
      <c r="G23" s="45"/>
      <c r="H23" s="45"/>
      <c r="I23" s="45"/>
      <c r="J23" s="2"/>
      <c r="K23" s="45"/>
      <c r="L23" s="45"/>
      <c r="M23" s="45"/>
      <c r="N23" s="2"/>
      <c r="O23" s="46"/>
      <c r="P23" s="46"/>
      <c r="Q23" s="38"/>
      <c r="R23" s="38"/>
      <c r="S23" s="38"/>
      <c r="T23" s="38"/>
      <c r="U23" s="47"/>
      <c r="V23" s="38"/>
      <c r="W23" s="46"/>
      <c r="X23" s="46"/>
      <c r="Y23" s="2"/>
      <c r="Z23" s="48"/>
      <c r="AA23" s="48"/>
      <c r="AB23" s="48"/>
      <c r="AC23" s="48"/>
    </row>
    <row r="24" spans="1:29" x14ac:dyDescent="0.2">
      <c r="A24" s="67" t="s">
        <v>5</v>
      </c>
      <c r="B24" s="49">
        <v>-40.774379730224609</v>
      </c>
      <c r="C24" s="50">
        <v>22.11998176574707</v>
      </c>
      <c r="D24" s="50">
        <v>15.427899360656738</v>
      </c>
      <c r="E24" s="50">
        <v>4.2018933296203613</v>
      </c>
      <c r="F24" s="50">
        <v>-1.5280348062515259</v>
      </c>
      <c r="G24" s="50">
        <v>-1.5451890067197382E-4</v>
      </c>
      <c r="H24" s="50">
        <v>298</v>
      </c>
      <c r="I24" s="51">
        <v>1517</v>
      </c>
      <c r="J24" s="2"/>
      <c r="K24" s="22">
        <f>D24*(I24-H24)+E24*$E$8/2*(I24^2-H24^2)-F24*$F$8*(I24^(-1)-H24^(-1))+G24*$G$8/3*(I24^3-H24^3)</f>
        <v>23042.707905996784</v>
      </c>
      <c r="L24" s="23">
        <f>K24/1000</f>
        <v>23.042707905996785</v>
      </c>
      <c r="M24" s="24">
        <f>D24*(LN(I24)-LN(H24))+E24*$E$8*(I24-H24)-F24*$F$8/2*(I24^(-2)-H24^(-2))+G24*$G$8/2*(I24^2-H24^2)</f>
        <v>29.402104682319095</v>
      </c>
      <c r="N24" s="2"/>
      <c r="O24" s="25">
        <f ca="1">LOOKUP($C$2,$H24:$I25,H24:H44)</f>
        <v>298</v>
      </c>
      <c r="P24" s="26">
        <f>TE</f>
        <v>800</v>
      </c>
      <c r="Q24" s="26">
        <f>LOOKUP($C$2,$H24:$I25,B24:B25)</f>
        <v>-40.774379730224609</v>
      </c>
      <c r="R24" s="26">
        <f>LOOKUP($C$2,$H24:$I25,C24:C25)</f>
        <v>22.11998176574707</v>
      </c>
      <c r="S24" s="26">
        <f>LOOKUP($C$2,$H24:$I25,D24:D25)*D$8</f>
        <v>15.427899360656738</v>
      </c>
      <c r="T24" s="26">
        <f>LOOKUP($C$2,$H24:$I25,E24:E25)*E$8</f>
        <v>4.2018933296203613E-3</v>
      </c>
      <c r="U24" s="27">
        <f>LOOKUP($C$2,$H24:$I25,F24:F25)*F$8</f>
        <v>-152803.48062515259</v>
      </c>
      <c r="V24" s="26">
        <f>LOOKUP($C$2,$H24:$I25,G24:G25)*G$8</f>
        <v>-1.5451890067197383E-10</v>
      </c>
      <c r="W24" s="26">
        <f ca="1">S24*(P24-O24)+T24/2*(P24^2-O24^2)-U24*(P24^(-1)-O24^(-1))+V24/3*(P24^3-O24^3)</f>
        <v>8581.0548617013101</v>
      </c>
      <c r="X24" s="28">
        <f ca="1">S24*(LN(P24)-LN(O24))+T24*(P24-O24)-U24/2*(P24^(-2)-O24^(-2))+V24/2*(P24^2-O24^2)</f>
        <v>16.603676422709331</v>
      </c>
      <c r="Y24" s="2" t="str">
        <f>A23</f>
        <v>Cu₂O</v>
      </c>
      <c r="Z24" s="52">
        <f>S24+T24*TE^$E$7+U24*TE^$F$7+V24*TE^$G$7</f>
        <v>18.550559693779796</v>
      </c>
      <c r="AA24" s="53" cm="1">
        <f t="array" aca="1" ref="AA24" ca="1">_xlfn.IFS(TE&lt;=I24,W24/1000+B24,TE&lt;=I25,W24/1000+B24+B25+L24)</f>
        <v>-32.193324868523298</v>
      </c>
      <c r="AB24" s="53" cm="1">
        <f t="array" aca="1" ref="AB24" ca="1">_xlfn.IFS(TE&lt;=I24,(C24+X24)/1000,TE&lt;=I25,(C24+X24+M24+C25)/1000)</f>
        <v>3.8723658188456397E-2</v>
      </c>
      <c r="AC24" s="54">
        <f ca="1">AA24-TE*AB24</f>
        <v>-63.172251419288415</v>
      </c>
    </row>
    <row r="25" spans="1:29" x14ac:dyDescent="0.2">
      <c r="A25" s="67" t="s">
        <v>3</v>
      </c>
      <c r="B25" s="58">
        <v>15.678776741027832</v>
      </c>
      <c r="C25" s="59">
        <v>10.335325241088867</v>
      </c>
      <c r="D25" s="59">
        <v>23.876672744750977</v>
      </c>
      <c r="E25" s="59">
        <v>-1.1593201552229053E-26</v>
      </c>
      <c r="F25" s="59">
        <v>-2.0391688319199326E-25</v>
      </c>
      <c r="G25" s="59">
        <v>1.6318362048334273E-27</v>
      </c>
      <c r="H25" s="59">
        <v>1517</v>
      </c>
      <c r="I25" s="60">
        <v>4000</v>
      </c>
      <c r="J25" s="2"/>
      <c r="K25" s="29">
        <f>D25*(I25-H25)+E25*$E$8/2*(I25^2-H25^2)-F25*$F$8*(I25^(-1)-H25^(-1))+G25*$G$8/3*(I25^3-H25^3)</f>
        <v>59285.778425216675</v>
      </c>
      <c r="L25" s="30">
        <f>K25/1000</f>
        <v>59.285778425216677</v>
      </c>
      <c r="M25" s="44">
        <f>D25*(LN(I25)-LN(H25))+E25*$E$8*(I25-H25)-F25*$F$8/2*(I25^(-2)-H25^(-2))+G25*$G$8/2*(I25^2-H25^2)</f>
        <v>23.149858726322996</v>
      </c>
      <c r="N25" s="2"/>
      <c r="O25" s="39"/>
      <c r="P25" s="39"/>
      <c r="Q25" s="39"/>
      <c r="R25" s="39"/>
      <c r="S25" s="39"/>
      <c r="T25" s="39"/>
      <c r="U25" s="40"/>
      <c r="V25" s="39"/>
      <c r="W25" s="39"/>
      <c r="X25" s="39"/>
      <c r="Y25" s="2"/>
      <c r="Z25" s="36"/>
      <c r="AA25" s="36"/>
      <c r="AB25" s="36"/>
      <c r="AC25" s="36"/>
    </row>
    <row r="26" spans="1:29" x14ac:dyDescent="0.2">
      <c r="A26" s="61" t="s">
        <v>33</v>
      </c>
      <c r="B26" s="45"/>
      <c r="C26" s="45"/>
      <c r="D26" s="45"/>
      <c r="E26" s="45"/>
      <c r="F26" s="45"/>
      <c r="G26" s="45"/>
      <c r="H26" s="45"/>
      <c r="I26" s="45"/>
      <c r="J26" s="2"/>
      <c r="K26" s="45"/>
      <c r="L26" s="45"/>
      <c r="M26" s="45"/>
      <c r="N26" s="2"/>
      <c r="O26" s="46"/>
      <c r="P26" s="46"/>
      <c r="Q26" s="38"/>
      <c r="R26" s="38"/>
      <c r="S26" s="38"/>
      <c r="T26" s="38"/>
      <c r="U26" s="47"/>
      <c r="V26" s="38"/>
      <c r="W26" s="46"/>
      <c r="X26" s="46"/>
      <c r="Y26" s="2"/>
      <c r="Z26" s="48"/>
      <c r="AA26" s="48"/>
      <c r="AB26" s="48"/>
      <c r="AC26" s="48"/>
    </row>
    <row r="27" spans="1:29" x14ac:dyDescent="0.2">
      <c r="A27" s="67" t="s">
        <v>5</v>
      </c>
      <c r="B27" s="63">
        <v>-179.67799377441406</v>
      </c>
      <c r="C27" s="64">
        <v>43.599998474121094</v>
      </c>
      <c r="D27" s="64">
        <v>23.799999237060547</v>
      </c>
      <c r="E27" s="64">
        <v>16.600000381469727</v>
      </c>
      <c r="F27" s="64">
        <v>0</v>
      </c>
      <c r="G27" s="64">
        <v>0</v>
      </c>
      <c r="H27" s="64">
        <v>298</v>
      </c>
      <c r="I27" s="65">
        <v>2000</v>
      </c>
      <c r="J27" s="2"/>
      <c r="K27" s="52">
        <f>D27*(I27-H27)+E27*$E$8/2*(I27^2-H27^2)-F27*$F$8*(I27^(-1)-H27^(-1))+G27*$G$8/3*(I27^3-H27^3)</f>
        <v>72970.526247478483</v>
      </c>
      <c r="L27" s="53">
        <f>K27/1000</f>
        <v>72.970526247478489</v>
      </c>
      <c r="M27" s="66">
        <f>D27*(LN(I27)-LN(H27))+E27*$E$8*(I27-H27)-F27*$F$8/2*(I27^(-2)-H27^(-2))+G27*$G$8/2*(I27^2-H27^2)</f>
        <v>73.563852755043428</v>
      </c>
      <c r="N27" s="2"/>
      <c r="O27" s="25">
        <f ca="1">LOOKUP($C$2,$H27:$I27,H27)</f>
        <v>298</v>
      </c>
      <c r="P27" s="26">
        <f>TE</f>
        <v>800</v>
      </c>
      <c r="Q27" s="26">
        <f ca="1">LOOKUP($C$2,$H27:$I27,B27)</f>
        <v>-179.67799377441406</v>
      </c>
      <c r="R27" s="26">
        <f ca="1">LOOKUP($C$2,$H27:$I27,C27)</f>
        <v>43.599998474121094</v>
      </c>
      <c r="S27" s="26">
        <f ca="1">LOOKUP($C$2,$H27:$I27,D27)*D$8</f>
        <v>23.799999237060547</v>
      </c>
      <c r="T27" s="26">
        <f ca="1">LOOKUP($C$2,$H27:$I27,E27)*E$8</f>
        <v>1.6600000381469728E-2</v>
      </c>
      <c r="U27" s="27">
        <f ca="1">LOOKUP($C$2,$H27:$I27,F27)*F$8</f>
        <v>0</v>
      </c>
      <c r="V27" s="26">
        <f ca="1">LOOKUP($C$2,$H27:$I27,G27)*G$8</f>
        <v>0</v>
      </c>
      <c r="W27" s="26">
        <f ca="1">S27*(P27-O27)+T27/2*(P27^2-O27^2)-U27*(P27^(-1)-O27^(-1))+V27/3*(P27^3-O27^3)</f>
        <v>16522.526522136686</v>
      </c>
      <c r="X27" s="28">
        <f ca="1">S27*(LN(P27)-LN(O27))+T27*(P27-O27)-U27/2*(P27^(-2)-O27^(-2))+V27/2*(P27^2-O27^2)</f>
        <v>31.836133577749216</v>
      </c>
      <c r="Y27" s="2" t="str">
        <f>A26</f>
        <v>Cu₂SO₄</v>
      </c>
      <c r="Z27" s="52">
        <f ca="1">S27+T27*TE^$E$7+U27*TE^$F$7+V27*TE^$G$7</f>
        <v>37.07999954223633</v>
      </c>
      <c r="AA27" s="53" cm="1">
        <f t="array" aca="1" ref="AA27" ca="1">_xlfn.IFS(TE&lt;=I27,W27/1000+B27)</f>
        <v>-163.15546725227739</v>
      </c>
      <c r="AB27" s="53" cm="1">
        <f t="array" aca="1" ref="AB27" ca="1">_xlfn.IFS(TE&lt;=I27,(C27+X27)/1000)</f>
        <v>7.5436132051870317E-2</v>
      </c>
      <c r="AC27" s="54">
        <f ca="1">AA27-TE*AB27</f>
        <v>-223.50437289377365</v>
      </c>
    </row>
    <row r="28" spans="1:29" x14ac:dyDescent="0.2">
      <c r="A28" s="61" t="s">
        <v>34</v>
      </c>
      <c r="B28" s="56"/>
      <c r="C28" s="56"/>
      <c r="D28" s="56"/>
      <c r="E28" s="56"/>
      <c r="F28" s="56"/>
      <c r="G28" s="56"/>
      <c r="H28" s="56"/>
      <c r="I28" s="56"/>
      <c r="J28" s="2"/>
      <c r="K28" s="36"/>
      <c r="L28" s="36"/>
      <c r="M28" s="36"/>
      <c r="N28" s="2"/>
      <c r="O28" s="39"/>
      <c r="P28" s="39"/>
      <c r="Q28" s="39"/>
      <c r="R28" s="39"/>
      <c r="S28" s="39"/>
      <c r="T28" s="39"/>
      <c r="U28" s="40"/>
      <c r="V28" s="39"/>
      <c r="W28" s="39"/>
      <c r="X28" s="39"/>
      <c r="Y28" s="2"/>
      <c r="Z28" s="36"/>
      <c r="AA28" s="36"/>
      <c r="AB28" s="36"/>
      <c r="AC28" s="36"/>
    </row>
    <row r="29" spans="1:29" x14ac:dyDescent="0.2">
      <c r="A29" s="67" t="s">
        <v>5</v>
      </c>
      <c r="B29" s="49">
        <v>-184.3690185546875</v>
      </c>
      <c r="C29" s="50">
        <v>26.112333297729492</v>
      </c>
      <c r="D29" s="50">
        <v>9.2438716888427734</v>
      </c>
      <c r="E29" s="50">
        <v>60.320224761962891</v>
      </c>
      <c r="F29" s="50">
        <v>-0.37944790720939636</v>
      </c>
      <c r="G29" s="50">
        <v>-35.409778594970703</v>
      </c>
      <c r="H29" s="50">
        <v>298</v>
      </c>
      <c r="I29" s="51">
        <v>500</v>
      </c>
      <c r="J29" s="2"/>
      <c r="K29" s="22">
        <f>D29*(I29-H29)+E29*$E$8/2*(I29^2-H29^2)-F29*$F$8*(I29^(-1)-H29^(-1))+G29*$G$8/3*(I29^3-H29^3)</f>
        <v>5514.4588285251975</v>
      </c>
      <c r="L29" s="23">
        <f>K29/1000</f>
        <v>5.5144588285251972</v>
      </c>
      <c r="M29" s="24">
        <f>D29*(LN(I29)-LN(H29))+E29*$E$8*(I29-H29)-F29*$F$8/2*(I29^(-2)-H29^(-2))+G29*$G$8/2*(I29^2-H29^2)</f>
        <v>13.976812840494844</v>
      </c>
      <c r="N29" s="2"/>
      <c r="O29" s="25">
        <f>LOOKUP($C$2,$H29:$I31,H29:H31)</f>
        <v>800</v>
      </c>
      <c r="P29" s="26">
        <f>TE</f>
        <v>800</v>
      </c>
      <c r="Q29" s="26">
        <f>LOOKUP($C$2,$H29:$I31,B29:B31)</f>
        <v>0</v>
      </c>
      <c r="R29" s="26">
        <f>LOOKUP($C$2,$H29:$I31,C29:C31)</f>
        <v>0</v>
      </c>
      <c r="S29" s="26">
        <f>LOOKUP($C$2,$H29:$I31,D29:D31)*D$8</f>
        <v>35.662849426269531</v>
      </c>
      <c r="T29" s="26">
        <f>LOOKUP($C$2,$H29:$I31,E29:E31)*E$8</f>
        <v>2.6923708915710448E-3</v>
      </c>
      <c r="U29" s="27">
        <f>LOOKUP($C$2,$H29:$I31,F29:F31)*F$8</f>
        <v>-1615953.6361694336</v>
      </c>
      <c r="V29" s="26">
        <f>LOOKUP($C$2,$H29:$I31,G29:G31)*G$8</f>
        <v>1.1646749451756477E-8</v>
      </c>
      <c r="W29" s="26">
        <f>S29*(P29-O29)+T29/2*(P29^2-O29^2)-U29*(P29^(-1)-O29^(-1))+V29/3*(P29^3-O29^3)</f>
        <v>0</v>
      </c>
      <c r="X29" s="28">
        <f>S29*(LN(P29)-LN(O29))+T29*(P29-O29)-U29/2*(P29^(-2)-O29^(-2))+V29/2*(P29^2-O29^2)</f>
        <v>0</v>
      </c>
      <c r="Y29" s="2" t="str">
        <f>A28</f>
        <v>CuSO₄</v>
      </c>
      <c r="Z29" s="52">
        <f>S29+T29*TE^$E$7+U29*TE^$F$7+V29*TE^$G$7</f>
        <v>35.299272502660749</v>
      </c>
      <c r="AA29" s="53" cm="1">
        <f t="array" ref="AA29">_xlfn.IFS(TE&lt;=I29,W29/1000+B29,TE&lt;=I30,W29/1000+B29+B30+L29,TE&lt;=I31,W29/1000+B29+B30+B31+L29+L30,TE&lt;=#REF!,W29/1000+B29+B30+B31+#REF!+L29+L30+L31)</f>
        <v>-168.88235341487544</v>
      </c>
      <c r="AB29" s="53" cm="1">
        <f t="array" ref="AB29">_xlfn.IFS(TE&lt;=I29,(C29+X29)/1000,TE&lt;=I30,(C29+X29+M29+C30)/1000,TE&lt;=I31,(C29+X29+M29+M30+C30+C31)/1000)</f>
        <v>5.56227104442409E-2</v>
      </c>
      <c r="AC29" s="54">
        <f>AA29-TE*AB29</f>
        <v>-213.38052177026816</v>
      </c>
    </row>
    <row r="30" spans="1:29" x14ac:dyDescent="0.2">
      <c r="A30" s="67" t="s">
        <v>5</v>
      </c>
      <c r="B30" s="55">
        <v>0</v>
      </c>
      <c r="C30" s="56">
        <v>0</v>
      </c>
      <c r="D30" s="56">
        <v>24.103200912475586</v>
      </c>
      <c r="E30" s="56">
        <v>24.558059692382813</v>
      </c>
      <c r="F30" s="56">
        <v>-7.9128608703613281</v>
      </c>
      <c r="G30" s="56">
        <v>-11.271904945373535</v>
      </c>
      <c r="H30" s="56">
        <v>500</v>
      </c>
      <c r="I30" s="57">
        <v>799.99900000000002</v>
      </c>
      <c r="J30" s="2"/>
      <c r="K30" s="35">
        <f>D30*(I30-H30)+E30*$E$8/2*(I30^2-H30^2)-F30*$F$8*(I30^(-1)-H30^(-1))+G30*$G$8/3*(I30^3-H30^3)</f>
        <v>9972.2063112868582</v>
      </c>
      <c r="L30" s="36">
        <f>K30/1000</f>
        <v>9.9722063112868575</v>
      </c>
      <c r="M30" s="37">
        <f>D30*(LN(I30)-LN(H30))+E30*$E$8*(I30-H30)-F30*$F$8/2*(I30^(-2)-H30^(-2))+G30*$G$8/2*(I30^2-H30^2)</f>
        <v>15.533564306016565</v>
      </c>
      <c r="N30" s="2"/>
      <c r="O30" s="39"/>
      <c r="P30" s="39"/>
      <c r="Q30" s="39"/>
      <c r="R30" s="39"/>
      <c r="S30" s="39"/>
      <c r="T30" s="39"/>
      <c r="U30" s="40"/>
      <c r="V30" s="39"/>
      <c r="W30" s="39"/>
      <c r="X30" s="39"/>
      <c r="Y30" s="20"/>
      <c r="Z30" s="36"/>
      <c r="AA30" s="36"/>
      <c r="AB30" s="36"/>
      <c r="AC30" s="36"/>
    </row>
    <row r="31" spans="1:29" x14ac:dyDescent="0.2">
      <c r="A31" s="67" t="s">
        <v>5</v>
      </c>
      <c r="B31" s="58">
        <v>0</v>
      </c>
      <c r="C31" s="59">
        <v>0</v>
      </c>
      <c r="D31" s="59">
        <v>35.662849426269531</v>
      </c>
      <c r="E31" s="59">
        <v>2.6923708915710449</v>
      </c>
      <c r="F31" s="59">
        <v>-16.159536361694336</v>
      </c>
      <c r="G31" s="59">
        <v>1.1646749451756477E-2</v>
      </c>
      <c r="H31" s="59">
        <v>800</v>
      </c>
      <c r="I31" s="60">
        <v>2000</v>
      </c>
      <c r="J31" s="2"/>
      <c r="K31" s="29">
        <f>D31*(I31-H31)+E31*$E$8/2*(I31^2-H31^2)-F31*$F$8*(I31^(-1)-H31^(-1))+G31*$G$8/3*(I31^3-H31^3)</f>
        <v>46135.707468867302</v>
      </c>
      <c r="L31" s="30">
        <f>K31/1000</f>
        <v>46.135707468867302</v>
      </c>
      <c r="M31" s="44">
        <f>D31*(LN(I31)-LN(H31))+E31*$E$8*(I31-H31)-F31*$F$8/2*(I31^(-2)-H31^(-2))+G31*$G$8/2*(I31^2-H31^2)</f>
        <v>34.867480436742319</v>
      </c>
      <c r="N31" s="2"/>
      <c r="O31" s="46"/>
      <c r="P31" s="46"/>
      <c r="Q31" s="39"/>
      <c r="R31" s="39"/>
      <c r="S31" s="39"/>
      <c r="T31" s="39"/>
      <c r="U31" s="40"/>
      <c r="V31" s="39"/>
      <c r="W31" s="46"/>
      <c r="X31" s="46"/>
      <c r="Y31" s="20"/>
      <c r="Z31" s="48"/>
      <c r="AA31" s="48"/>
      <c r="AB31" s="48"/>
      <c r="AC31" s="48"/>
    </row>
    <row r="32" spans="1:29" x14ac:dyDescent="0.2">
      <c r="A32" s="61" t="s">
        <v>121</v>
      </c>
      <c r="B32" s="45"/>
      <c r="C32" s="45"/>
      <c r="D32" s="45"/>
      <c r="E32" s="45"/>
      <c r="F32" s="45"/>
      <c r="G32" s="45"/>
      <c r="H32" s="45"/>
      <c r="I32" s="45"/>
      <c r="J32" s="2"/>
      <c r="K32" s="45"/>
      <c r="L32" s="45"/>
      <c r="M32" s="45"/>
      <c r="N32" s="2"/>
      <c r="O32" s="46"/>
      <c r="P32" s="46"/>
      <c r="Q32" s="38"/>
      <c r="R32" s="38"/>
      <c r="S32" s="38"/>
      <c r="T32" s="38"/>
      <c r="U32" s="47"/>
      <c r="V32" s="38"/>
      <c r="W32" s="46"/>
      <c r="X32" s="46"/>
      <c r="Y32" s="2"/>
      <c r="Z32" s="48"/>
      <c r="AA32" s="48"/>
      <c r="AB32" s="48"/>
      <c r="AC32" s="48"/>
    </row>
    <row r="33" spans="1:29" x14ac:dyDescent="0.2">
      <c r="A33" s="67" t="s">
        <v>5</v>
      </c>
      <c r="B33" s="49">
        <v>-221.69999694824219</v>
      </c>
      <c r="C33" s="50">
        <v>37.599998474121094</v>
      </c>
      <c r="D33" s="50">
        <v>-18.954572677612305</v>
      </c>
      <c r="E33" s="50">
        <v>199.79281616210938</v>
      </c>
      <c r="F33" s="50">
        <v>6.9557609558105469</v>
      </c>
      <c r="G33" s="50">
        <v>-165.70516967773438</v>
      </c>
      <c r="H33" s="50">
        <v>298</v>
      </c>
      <c r="I33" s="51">
        <v>500</v>
      </c>
      <c r="J33" s="2"/>
      <c r="K33" s="22">
        <f>D33*(I33-H33)+E33*$E$8/2*(I33^2-H33^2)-F33*$F$8*(I33^(-1)-H33^(-1))+G33*$G$8/3*(I33^3-H33^3)</f>
        <v>7774.4094277175809</v>
      </c>
      <c r="L33" s="23">
        <f>K33/1000</f>
        <v>7.7744094277175808</v>
      </c>
      <c r="M33" s="24">
        <f>D33*(LN(I33)-LN(H33))+E33*$E$8*(I33-H33)-F33*$F$8/2*(I33^(-2)-H33^(-2))+G33*$G$8/2*(I33^2-H33^2)</f>
        <v>19.718578741891037</v>
      </c>
      <c r="N33" s="2"/>
      <c r="O33" s="25">
        <f>LOOKUP($C$2,$H33:$I36,H33:H36)</f>
        <v>500</v>
      </c>
      <c r="P33" s="26">
        <f>TE</f>
        <v>800</v>
      </c>
      <c r="Q33" s="26">
        <f>LOOKUP($C$2,$H33:$I36,B33:B36)</f>
        <v>0</v>
      </c>
      <c r="R33" s="26">
        <f>LOOKUP($C$2,$H33:$I36,C33:C36)</f>
        <v>0</v>
      </c>
      <c r="S33" s="26">
        <f>LOOKUP($C$2,$H33:$I36,D33:D36)*D$8</f>
        <v>42.739067077636719</v>
      </c>
      <c r="T33" s="26">
        <f>LOOKUP($C$2,$H33:$I36,E33:E36)*E$8</f>
        <v>1.0769364356994628E-2</v>
      </c>
      <c r="U33" s="27">
        <f>LOOKUP($C$2,$H33:$I36,F33:F36)*F$8</f>
        <v>-1367925.0717163086</v>
      </c>
      <c r="V33" s="26">
        <f>LOOKUP($C$2,$H33:$I36,G33:G36)*G$8</f>
        <v>-1.4109109640121459E-6</v>
      </c>
      <c r="W33" s="26">
        <f>S33*(P33-O33)+T33/2*(P33^2-O33^2)-U33*(P33^(-1)-O33^(-1))+V33/3*(P33^3-O33^3)</f>
        <v>13713.79485476017</v>
      </c>
      <c r="X33" s="28">
        <f>S33*(LN(P33)-LN(O33))+T33*(P33-O33)-U33/2*(P33^(-2)-O33^(-2))+V33/2*(P33^2-O33^2)</f>
        <v>21.376039625027964</v>
      </c>
      <c r="Y33" s="2" t="str">
        <f>A32</f>
        <v>CuO·CuSO₄</v>
      </c>
      <c r="Z33" s="52">
        <f>S33+T33*TE^$E$7+U33*TE^$F$7+V33*TE^$G$7</f>
        <v>48.314192621707917</v>
      </c>
      <c r="AA33" s="53" cm="1">
        <f t="array" ref="AA33">_xlfn.IFS(TE&lt;=I33,W33/1000+B33,TE&lt;=I34,W33/1000+B33+B34+L33,TE&lt;=I35,W33/1000+B33+B34+B35+L33+L34,TE&lt;=I36,W33/1000+B33+B34+B35+B36+L33+L34+L35)</f>
        <v>-200.21179266576442</v>
      </c>
      <c r="AB33" s="53" cm="1">
        <f t="array" ref="AB33">_xlfn.IFS(TE&lt;=I33,(C33+X33)/1000,TE&lt;=I34,(C33+X33+M33+C34)/1000,TE&lt;=I35,(C33+X33+M33+M34+C34+C35)/1000,TE&lt;=I36,(C33+X33+M33+M34+M35+C34+C35+C36)/1000)</f>
        <v>7.8694616841040108E-2</v>
      </c>
      <c r="AC33" s="54">
        <f>AA33-TE*AB33</f>
        <v>-263.16748613859653</v>
      </c>
    </row>
    <row r="34" spans="1:29" x14ac:dyDescent="0.2">
      <c r="A34" s="67" t="s">
        <v>5</v>
      </c>
      <c r="B34" s="55">
        <v>0</v>
      </c>
      <c r="C34" s="56">
        <v>0</v>
      </c>
      <c r="D34" s="56">
        <v>42.739067077636719</v>
      </c>
      <c r="E34" s="56">
        <v>10.769364356994629</v>
      </c>
      <c r="F34" s="56">
        <v>-13.679250717163086</v>
      </c>
      <c r="G34" s="56">
        <v>-1.410910964012146</v>
      </c>
      <c r="H34" s="56">
        <v>500</v>
      </c>
      <c r="I34" s="57">
        <v>899.99900000000002</v>
      </c>
      <c r="J34" s="2"/>
      <c r="K34" s="35">
        <f>D34*(I34-H34)+E34*$E$8/2*(I34^2-H34^2)-F34*$F$8*(I34^(-1)-H34^(-1))+G34*$G$8/3*(I34^3-H34^3)</f>
        <v>18611.002446656166</v>
      </c>
      <c r="L34" s="36">
        <f t="shared" ref="L34:L36" si="2">K34/1000</f>
        <v>18.611002446656165</v>
      </c>
      <c r="M34" s="37">
        <f>D34*(LN(I34)-LN(H34))+E34*$E$8*(I34-H34)-F34*$F$8/2*(I34^(-2)-H34^(-2))+G34*$G$8/2*(I34^2-H34^2)</f>
        <v>27.14263730947102</v>
      </c>
      <c r="N34" s="2"/>
      <c r="O34" s="39"/>
      <c r="P34" s="39"/>
      <c r="Q34" s="39"/>
      <c r="R34" s="39"/>
      <c r="S34" s="39"/>
      <c r="T34" s="39"/>
      <c r="U34" s="40"/>
      <c r="V34" s="39"/>
      <c r="W34" s="39"/>
      <c r="X34" s="39"/>
      <c r="Y34" s="2"/>
      <c r="Z34" s="36"/>
      <c r="AA34" s="36"/>
      <c r="AB34" s="36"/>
      <c r="AC34" s="36"/>
    </row>
    <row r="35" spans="1:29" x14ac:dyDescent="0.2">
      <c r="A35" s="67" t="s">
        <v>5</v>
      </c>
      <c r="B35" s="55">
        <v>0</v>
      </c>
      <c r="C35" s="56">
        <v>0</v>
      </c>
      <c r="D35" s="56">
        <v>52.931465148925781</v>
      </c>
      <c r="E35" s="56">
        <v>-3.9929242134094238</v>
      </c>
      <c r="F35" s="56">
        <v>-29.244426727294922</v>
      </c>
      <c r="G35" s="56">
        <v>4.7811870574951172</v>
      </c>
      <c r="H35" s="56">
        <v>900</v>
      </c>
      <c r="I35" s="57">
        <v>1300</v>
      </c>
      <c r="J35" s="2"/>
      <c r="K35" s="35">
        <f>D35*(I35-H35)+E35*$E$8/2*(I35^2-H35^2)-F35*$F$8*(I35^(-1)-H35^(-1))+G35*$G$8/3*(I35^3-H35^3)</f>
        <v>20755.484145042225</v>
      </c>
      <c r="L35" s="36">
        <f t="shared" si="2"/>
        <v>20.755484145042224</v>
      </c>
      <c r="M35" s="37">
        <f>D35*(LN(I35)-LN(H35))+E35*$E$8*(I35-H35)-F35*$F$8/2*(I35^(-2)-H35^(-2))+G35*$G$8/2*(I35^2-H35^2)</f>
        <v>19.030772202817086</v>
      </c>
      <c r="N35" s="2"/>
      <c r="O35" s="39"/>
      <c r="P35" s="39"/>
      <c r="Q35" s="39"/>
      <c r="R35" s="39"/>
      <c r="S35" s="39"/>
      <c r="T35" s="39"/>
      <c r="U35" s="40"/>
      <c r="V35" s="39"/>
      <c r="W35" s="39"/>
      <c r="X35" s="39"/>
      <c r="Y35" s="2"/>
      <c r="Z35" s="36"/>
      <c r="AA35" s="36"/>
      <c r="AB35" s="36"/>
      <c r="AC35" s="36"/>
    </row>
    <row r="36" spans="1:29" x14ac:dyDescent="0.2">
      <c r="A36" s="67" t="s">
        <v>5</v>
      </c>
      <c r="B36" s="58">
        <v>0</v>
      </c>
      <c r="C36" s="59">
        <v>0</v>
      </c>
      <c r="D36" s="59">
        <v>51.826713562011719</v>
      </c>
      <c r="E36" s="59">
        <v>0.34587350487709045</v>
      </c>
      <c r="F36" s="59">
        <v>-36.120410919189453</v>
      </c>
      <c r="G36" s="59">
        <v>2.3375949859619141</v>
      </c>
      <c r="H36" s="59">
        <v>1300</v>
      </c>
      <c r="I36" s="60">
        <v>1500</v>
      </c>
      <c r="J36" s="2"/>
      <c r="K36" s="29">
        <f>D36*(I36-H36)+E36*$E$8/2*(I36^2-H36^2)-F36*$F$8*(I36^(-1)-H36^(-1))+G36*$G$8/3*(I36^3-H36^3)</f>
        <v>11009.61717190498</v>
      </c>
      <c r="L36" s="30">
        <f t="shared" si="2"/>
        <v>11.00961717190498</v>
      </c>
      <c r="M36" s="44">
        <f>D36*(LN(I36)-LN(H36))+E36*$E$8*(I36-H36)-F36*$F$8/2*(I36^(-2)-H36^(-2))+G36*$G$8/2*(I36^2-H36^2)</f>
        <v>7.8741723184694603</v>
      </c>
      <c r="N36" s="2"/>
      <c r="O36" s="39"/>
      <c r="P36" s="39"/>
      <c r="Q36" s="39"/>
      <c r="R36" s="39"/>
      <c r="S36" s="39"/>
      <c r="T36" s="39"/>
      <c r="U36" s="40"/>
      <c r="V36" s="39"/>
      <c r="W36" s="39"/>
      <c r="X36" s="39"/>
      <c r="Y36" s="2"/>
      <c r="Z36" s="36"/>
      <c r="AA36" s="36"/>
      <c r="AB36" s="36"/>
      <c r="AC36" s="36"/>
    </row>
    <row r="37" spans="1:29" x14ac:dyDescent="0.2">
      <c r="A37" s="61" t="s">
        <v>2</v>
      </c>
      <c r="B37" s="45"/>
      <c r="C37" s="45"/>
      <c r="D37" s="45"/>
      <c r="E37" s="45"/>
      <c r="F37" s="45"/>
      <c r="G37" s="45"/>
      <c r="H37" s="45"/>
      <c r="I37" s="45"/>
      <c r="J37" s="2"/>
      <c r="K37" s="45"/>
      <c r="L37" s="45"/>
      <c r="M37" s="45"/>
      <c r="N37" s="2"/>
      <c r="O37" s="46"/>
      <c r="P37" s="46"/>
      <c r="Q37" s="38"/>
      <c r="R37" s="38"/>
      <c r="S37" s="38"/>
      <c r="T37" s="38"/>
      <c r="U37" s="47"/>
      <c r="V37" s="38"/>
      <c r="W37" s="46"/>
      <c r="X37" s="46"/>
      <c r="Y37" s="2"/>
      <c r="Z37" s="48"/>
      <c r="AA37" s="48"/>
      <c r="AB37" s="48"/>
      <c r="AC37" s="48"/>
    </row>
    <row r="38" spans="1:29" x14ac:dyDescent="0.2">
      <c r="A38" s="67" t="s">
        <v>5</v>
      </c>
      <c r="B38" s="49">
        <v>-37.237094879150391</v>
      </c>
      <c r="C38" s="50">
        <v>10.215105056762695</v>
      </c>
      <c r="D38" s="50">
        <v>11.613609313964844</v>
      </c>
      <c r="E38" s="50">
        <v>1.7202543020248413</v>
      </c>
      <c r="F38" s="50">
        <v>-1.7926106452941895</v>
      </c>
      <c r="G38" s="50">
        <v>3.2590146292932332E-4</v>
      </c>
      <c r="H38" s="50">
        <v>298</v>
      </c>
      <c r="I38" s="51">
        <v>1500</v>
      </c>
      <c r="J38" s="2"/>
      <c r="K38" s="22">
        <f>D38*(I38-H38)+E38*$E$8/2*(I38^2-H38^2)-F38*$F$8*(I38^(-1)-H38^(-1))+G38*$G$8/3*(I38^3-H38^3)</f>
        <v>15336.785697895362</v>
      </c>
      <c r="L38" s="23">
        <f>K38/1000</f>
        <v>15.336785697895362</v>
      </c>
      <c r="M38" s="24">
        <f>D38*(LN(I38)-LN(H38))+E38*$E$8*(I38-H38)-F38*$F$8/2*(I38^(-2)-H38^(-2))+G38*$G$8/2*(I38^2-H38^2)</f>
        <v>19.86769268027988</v>
      </c>
      <c r="N38" s="2"/>
      <c r="O38" s="25">
        <f>LOOKUP($C$2,$H38:$I39,H38:H39)</f>
        <v>298</v>
      </c>
      <c r="P38" s="26">
        <f>TE</f>
        <v>800</v>
      </c>
      <c r="Q38" s="26">
        <f>LOOKUP($C$2,$H38:$I39,B38:B39)</f>
        <v>-37.237094879150391</v>
      </c>
      <c r="R38" s="26">
        <f>LOOKUP($C$2,$H38:$I39,C38:C39)</f>
        <v>10.215105056762695</v>
      </c>
      <c r="S38" s="26">
        <f>LOOKUP($C$2,$H38:$I39,D38:D39)*D$8</f>
        <v>11.613609313964844</v>
      </c>
      <c r="T38" s="26">
        <f>LOOKUP($C$2,$H38:$I39,E38:E39)*E$8</f>
        <v>1.7202543020248414E-3</v>
      </c>
      <c r="U38" s="27">
        <f>LOOKUP($C$2,$H38:$I39,F38:F39)*F$8</f>
        <v>-179261.06452941895</v>
      </c>
      <c r="V38" s="26">
        <f>LOOKUP($C$2,$H38:$I39,G38:G39)*G$8</f>
        <v>3.2590146292932332E-10</v>
      </c>
      <c r="W38" s="26">
        <f>S38*(P38-O38)+T38/2*(P38^2-O38^2)-U38*(P38^(-1)-O38^(-1))+V38/3*(P38^3-O38^3)</f>
        <v>5926.7124006693457</v>
      </c>
      <c r="X38" s="28">
        <f>S38*(LN(P38)-LN(O38))+T38*(P38-O38)-U38/2*(P38^(-2)-O38^(-2))+V38/2*(P38^2-O38^2)</f>
        <v>11.463048850824151</v>
      </c>
      <c r="Y38" s="2" t="str">
        <f>A37</f>
        <v>CuO</v>
      </c>
      <c r="Z38" s="52">
        <f>S38+T38*TE^$E$7+U38*TE^$F$7+V38*TE^$G$7</f>
        <v>12.709925919193775</v>
      </c>
      <c r="AA38" s="53" cm="1">
        <f t="array" ref="AA38">_xlfn.IFS(TE&lt;=I38,W38/1000+B38,TE&lt;=I39,W38/1000+B38+B39+L38)</f>
        <v>-31.310382478481046</v>
      </c>
      <c r="AB38" s="53" cm="1">
        <f t="array" ref="AB38">_xlfn.IFS(TE&lt;=I38,(C38+X38)/1000,TE&lt;=I39,(C38+X38+M38+C39)/1000)</f>
        <v>2.1678153907586848E-2</v>
      </c>
      <c r="AC38" s="54">
        <f>AA38-TE*AB38</f>
        <v>-48.652905604550526</v>
      </c>
    </row>
    <row r="39" spans="1:29" x14ac:dyDescent="0.2">
      <c r="A39" s="67" t="s">
        <v>3</v>
      </c>
      <c r="B39" s="58">
        <v>11.711280822753906</v>
      </c>
      <c r="C39" s="59">
        <v>7.8076004981994629</v>
      </c>
      <c r="D39" s="59">
        <v>16.013383865356445</v>
      </c>
      <c r="E39" s="59">
        <v>0</v>
      </c>
      <c r="F39" s="59">
        <v>0</v>
      </c>
      <c r="G39" s="59">
        <v>0</v>
      </c>
      <c r="H39" s="59">
        <v>1500</v>
      </c>
      <c r="I39" s="60">
        <v>3000</v>
      </c>
      <c r="J39" s="2"/>
      <c r="K39" s="29">
        <f>D39*(I39-H39)+E39*$E$8/2*(I39^2-H39^2)-F39*$F$8*(I39^(-1)-H39^(-1))+G39*$G$8/3*(I39^3-H39^3)</f>
        <v>24020.075798034668</v>
      </c>
      <c r="L39" s="30">
        <f t="shared" ref="L39" si="3">K39/1000</f>
        <v>24.020075798034668</v>
      </c>
      <c r="M39" s="44">
        <f>D39*(LN(I39)-LN(H39))+E39*$E$8*(I39-H39)-F39*$F$8/2*(I39^(-2)-H39^(-2))+G39*$G$8/2*(I39^2-H39^2)</f>
        <v>11.099631877495925</v>
      </c>
      <c r="N39" s="2"/>
      <c r="O39" s="39"/>
      <c r="P39" s="39"/>
      <c r="Q39" s="39"/>
      <c r="R39" s="39"/>
      <c r="S39" s="39"/>
      <c r="T39" s="39"/>
      <c r="U39" s="40"/>
      <c r="V39" s="39"/>
      <c r="W39" s="39"/>
      <c r="X39" s="39"/>
      <c r="Y39" s="2"/>
      <c r="Z39" s="36"/>
      <c r="AA39" s="36"/>
      <c r="AB39" s="36"/>
      <c r="AC39" s="36"/>
    </row>
    <row r="40" spans="1:29" x14ac:dyDescent="0.2">
      <c r="A40" s="61" t="s">
        <v>35</v>
      </c>
      <c r="B40" s="45"/>
      <c r="C40" s="45"/>
      <c r="D40" s="45"/>
      <c r="E40" s="45"/>
      <c r="F40" s="45"/>
      <c r="G40" s="45"/>
      <c r="H40" s="45"/>
      <c r="I40" s="45"/>
      <c r="J40" s="2"/>
      <c r="K40" s="45"/>
      <c r="L40" s="45"/>
      <c r="M40" s="45"/>
      <c r="N40" s="2"/>
      <c r="O40" s="46"/>
      <c r="P40" s="46"/>
      <c r="Q40" s="38"/>
      <c r="R40" s="38"/>
      <c r="S40" s="38"/>
      <c r="T40" s="38"/>
      <c r="U40" s="47"/>
      <c r="V40" s="38"/>
      <c r="W40" s="46"/>
      <c r="X40" s="46"/>
      <c r="Y40" s="2"/>
      <c r="Z40" s="48"/>
      <c r="AA40" s="48"/>
      <c r="AB40" s="48"/>
      <c r="AC40" s="48"/>
    </row>
    <row r="41" spans="1:29" x14ac:dyDescent="0.2">
      <c r="A41" s="67" t="s">
        <v>15</v>
      </c>
      <c r="B41" s="49">
        <v>0</v>
      </c>
      <c r="C41" s="50">
        <v>49.031787872314453</v>
      </c>
      <c r="D41" s="50">
        <v>5.2723588943481445</v>
      </c>
      <c r="E41" s="50">
        <v>4.9920454025268555</v>
      </c>
      <c r="F41" s="50">
        <v>0.38732200860977173</v>
      </c>
      <c r="G41" s="50">
        <v>-1.9615992307662964</v>
      </c>
      <c r="H41" s="50">
        <v>298</v>
      </c>
      <c r="I41" s="51">
        <v>700</v>
      </c>
      <c r="J41" s="2"/>
      <c r="K41" s="22">
        <f>D41*(I41-H41)+E41*$E$8/2*(I41^2-H41^2)-F41*$F$8*(I41^(-1)-H41^(-1))+G41*$G$8/3*(I41^3-H41^3)</f>
        <v>2988.5521872467866</v>
      </c>
      <c r="L41" s="23">
        <f>K41/1000</f>
        <v>2.9885521872467864</v>
      </c>
      <c r="M41" s="24">
        <f>D41*(LN(I41)-LN(H41))+E41*$E$8*(I41-H41)-F41*$F$8/2*(I41^(-2)-H41^(-2))+G41*$G$8/2*(I41^2-H41^2)</f>
        <v>6.2943887652045065</v>
      </c>
      <c r="N41" s="2"/>
      <c r="O41" s="25">
        <f>LOOKUP($C$2,$H41:$I44,H41:H44)</f>
        <v>700</v>
      </c>
      <c r="P41" s="26">
        <f>TE</f>
        <v>800</v>
      </c>
      <c r="Q41" s="26">
        <f>LOOKUP($C$2,$H41:$I44,B41:B44)</f>
        <v>0</v>
      </c>
      <c r="R41" s="26">
        <f>LOOKUP($C$2,$H41:$I44,C41:C44)</f>
        <v>0</v>
      </c>
      <c r="S41" s="26">
        <f>LOOKUP($C$2,$H41:$I44,D41:D44)*D$8</f>
        <v>7.120692253112793</v>
      </c>
      <c r="T41" s="26">
        <f>LOOKUP($C$2,$H41:$I44,E41:E44)*E$8</f>
        <v>1.8906252384185791E-3</v>
      </c>
      <c r="U41" s="27">
        <f>LOOKUP($C$2,$H41:$I44,F41:F44)*F$8</f>
        <v>-148036.34881973267</v>
      </c>
      <c r="V41" s="26">
        <f>LOOKUP($C$2,$H41:$I44,G41:G44)*G$8</f>
        <v>-5.2667200565338137E-7</v>
      </c>
      <c r="W41" s="26">
        <f>S41*(P41-O41)+T41/2*(P41^2-O41^2)-U41*(P41^(-1)-O41^(-1))+V41/3*(P41^3-O41^3)</f>
        <v>797.76186625162757</v>
      </c>
      <c r="X41" s="28">
        <f>S41*(LN(P41)-LN(O41))+T41*(P41-O41)-U41/2*(P41^(-2)-O41^(-2))+V41/2*(P41^2-O41^2)</f>
        <v>1.0649939751464266</v>
      </c>
      <c r="Y41" s="2" t="str">
        <f>A40</f>
        <v>O₂(g)</v>
      </c>
      <c r="Z41" s="52">
        <f>S41+T41*TE^$E$7+U41*TE^$F$7+V41*TE^$G$7</f>
        <v>8.0648155651986606</v>
      </c>
      <c r="AA41" s="53" cm="1">
        <f t="array" ref="AA41">_xlfn.IFS(TE&lt;=I41,W41/1000+B41,TE&lt;=I42,W41/1000+B41+B42+L41,TE&lt;=I43,W41/1000+B41+B42+B43+L41+L42,TE&lt;=I44,W41/1000+B41+B42+B43+B44+L41+L42+L43)</f>
        <v>3.7863140534984141</v>
      </c>
      <c r="AB41" s="53" cm="1">
        <f t="array" ref="AB41">_xlfn.IFS(TE&lt;=I41,(C41+X41)/1000,TE&lt;=I42,(C41+X41+M41+C42)/1000,TE&lt;=I43,(C41+X41+M41+M42+C42+C43)/1000,TE&lt;=I44,(C41+X41+M41+M42+M43+C42+C43+C44)/1000)</f>
        <v>5.6391170612665388E-2</v>
      </c>
      <c r="AC41" s="54">
        <f>AA41-TE*AB41</f>
        <v>-41.326622436633897</v>
      </c>
    </row>
    <row r="42" spans="1:29" x14ac:dyDescent="0.2">
      <c r="A42" s="67" t="s">
        <v>15</v>
      </c>
      <c r="B42" s="55">
        <v>0</v>
      </c>
      <c r="C42" s="56">
        <v>0</v>
      </c>
      <c r="D42" s="56">
        <v>7.120692253112793</v>
      </c>
      <c r="E42" s="56">
        <v>1.8906252384185791</v>
      </c>
      <c r="F42" s="56">
        <v>-1.4803634881973267</v>
      </c>
      <c r="G42" s="56">
        <v>-0.52667200565338135</v>
      </c>
      <c r="H42" s="56">
        <v>700</v>
      </c>
      <c r="I42" s="57">
        <v>1200</v>
      </c>
      <c r="J42" s="2"/>
      <c r="K42" s="35">
        <f>D42*(I42-H42)+E42*$E$8/2*(I42^2-H42^2)-F42*$F$8*(I42^(-1)-H42^(-1))+G42*$G$8/3*(I42^3-H42^3)</f>
        <v>4127.1293312311172</v>
      </c>
      <c r="L42" s="36">
        <f>K42/1000</f>
        <v>4.1271293312311172</v>
      </c>
      <c r="M42" s="37">
        <f>D42*(LN(I42)-LN(H42))+E42*$E$8*(I42-H42)-F42*$F$8/2*(I42^(-2)-H42^(-2))+G42*$G$8/2*(I42^2-H42^2)</f>
        <v>4.4335156349572893</v>
      </c>
      <c r="N42" s="2"/>
      <c r="O42" s="39"/>
      <c r="P42" s="39"/>
      <c r="Q42" s="39"/>
      <c r="R42" s="39"/>
      <c r="S42" s="39"/>
      <c r="T42" s="39"/>
      <c r="U42" s="40"/>
      <c r="V42" s="39"/>
      <c r="W42" s="39"/>
      <c r="X42" s="39"/>
      <c r="Y42" s="2"/>
      <c r="Z42" s="36"/>
      <c r="AA42" s="36"/>
      <c r="AB42" s="36"/>
      <c r="AC42" s="36"/>
    </row>
    <row r="43" spans="1:29" x14ac:dyDescent="0.2">
      <c r="A43" s="67" t="s">
        <v>15</v>
      </c>
      <c r="B43" s="55">
        <v>0</v>
      </c>
      <c r="C43" s="56">
        <v>0</v>
      </c>
      <c r="D43" s="56">
        <v>8.331608772277832</v>
      </c>
      <c r="E43" s="56">
        <v>0.31361931562423706</v>
      </c>
      <c r="F43" s="56">
        <v>-3.3796303272247314</v>
      </c>
      <c r="G43" s="56">
        <v>3.885253518819809E-2</v>
      </c>
      <c r="H43" s="56">
        <v>1200</v>
      </c>
      <c r="I43" s="57">
        <v>2500</v>
      </c>
      <c r="J43" s="2"/>
      <c r="K43" s="35">
        <f>D43*(I43-H43)+E43*$E$8/2*(I43^2-H43^2)-F43*$F$8*(I43^(-1)-H43^(-1))+G43*$G$8/3*(I43^3-H43^3)</f>
        <v>11618.873104361197</v>
      </c>
      <c r="L43" s="36">
        <f>K43/1000</f>
        <v>11.618873104361198</v>
      </c>
      <c r="M43" s="37">
        <f>D43*(LN(I43)-LN(H43))+E43*$E$8*(I43-H43)-F43*$F$8/2*(I43^(-2)-H43^(-2))+G43*$G$8/2*(I43^2-H43^2)</f>
        <v>6.5259782424857837</v>
      </c>
      <c r="N43" s="2"/>
      <c r="O43" s="39"/>
      <c r="P43" s="39"/>
      <c r="Q43" s="39"/>
      <c r="R43" s="39"/>
      <c r="S43" s="39"/>
      <c r="T43" s="39"/>
      <c r="U43" s="40"/>
      <c r="V43" s="39"/>
      <c r="W43" s="39"/>
      <c r="X43" s="39"/>
      <c r="Y43" s="2"/>
      <c r="Z43" s="36"/>
      <c r="AA43" s="36"/>
      <c r="AB43" s="36"/>
      <c r="AC43" s="36"/>
    </row>
    <row r="44" spans="1:29" x14ac:dyDescent="0.2">
      <c r="A44" s="67" t="s">
        <v>15</v>
      </c>
      <c r="B44" s="58">
        <v>0</v>
      </c>
      <c r="C44" s="59">
        <v>0</v>
      </c>
      <c r="D44" s="59">
        <v>7.8139004707336426</v>
      </c>
      <c r="E44" s="59">
        <v>0.74984574317932129</v>
      </c>
      <c r="F44" s="59">
        <v>-4.1353487968444824</v>
      </c>
      <c r="G44" s="59">
        <v>-5.1188889890909195E-2</v>
      </c>
      <c r="H44" s="59">
        <v>2500</v>
      </c>
      <c r="I44" s="60">
        <v>4500</v>
      </c>
      <c r="J44" s="2"/>
      <c r="K44" s="29">
        <f>D44*(I44-H44)+E44*$E$8/2*(I44^2-H44^2)-F44*$F$8*(I44^(-1)-H44^(-1))+G44*$G$8/3*(I44^3-H44^3)</f>
        <v>19514.950102857416</v>
      </c>
      <c r="L44" s="30">
        <f>K44/1000</f>
        <v>19.514950102857416</v>
      </c>
      <c r="M44" s="44">
        <f>D44*(LN(I44)-LN(H44))+E44*$E$8*(I44-H44)-F44*$F$8/2*(I44^(-2)-H44^(-2))+G44*$G$8/2*(I44^2-H44^2)</f>
        <v>5.7114037020871375</v>
      </c>
      <c r="N44" s="2"/>
      <c r="O44" s="39"/>
      <c r="P44" s="39"/>
      <c r="Q44" s="39"/>
      <c r="R44" s="39"/>
      <c r="S44" s="39"/>
      <c r="T44" s="39"/>
      <c r="U44" s="40"/>
      <c r="V44" s="39"/>
      <c r="W44" s="39"/>
      <c r="X44" s="39"/>
      <c r="Y44" s="2"/>
      <c r="Z44" s="36"/>
      <c r="AA44" s="36"/>
      <c r="AB44" s="36"/>
      <c r="AC44" s="36"/>
    </row>
    <row r="45" spans="1:29" x14ac:dyDescent="0.2">
      <c r="A45" s="61" t="s">
        <v>36</v>
      </c>
      <c r="B45" s="36"/>
      <c r="C45" s="36"/>
      <c r="D45" s="36"/>
      <c r="E45" s="36"/>
      <c r="F45" s="36"/>
      <c r="G45" s="36"/>
      <c r="H45" s="36"/>
      <c r="I45" s="36"/>
      <c r="J45" s="2"/>
      <c r="K45" s="36"/>
      <c r="L45" s="36"/>
      <c r="M45" s="36"/>
      <c r="N45" s="2"/>
      <c r="O45" s="46"/>
      <c r="P45" s="46"/>
      <c r="Q45" s="38"/>
      <c r="R45" s="38"/>
      <c r="S45" s="38"/>
      <c r="T45" s="38"/>
      <c r="U45" s="47"/>
      <c r="V45" s="38"/>
      <c r="W45" s="46"/>
      <c r="X45" s="46"/>
      <c r="Y45" s="2"/>
      <c r="Z45" s="48"/>
      <c r="AA45" s="48"/>
      <c r="AB45" s="48"/>
      <c r="AC45" s="48"/>
    </row>
    <row r="46" spans="1:29" ht="15" x14ac:dyDescent="0.25">
      <c r="B46" s="68">
        <v>-70.94000244140625</v>
      </c>
      <c r="C46" s="69">
        <v>59.326000213623047</v>
      </c>
      <c r="D46" s="69">
        <v>6.963261604309082</v>
      </c>
      <c r="E46" s="69">
        <v>8.8961639404296875</v>
      </c>
      <c r="F46" s="69">
        <v>1.3905203901231289E-2</v>
      </c>
      <c r="G46" s="69">
        <v>-0.68964582681655884</v>
      </c>
      <c r="H46" s="69">
        <v>298</v>
      </c>
      <c r="I46" s="70">
        <v>500</v>
      </c>
      <c r="J46" s="2"/>
      <c r="K46" s="71">
        <f>D46*(I46-H46)+E46*$E$8/2*(I46^2-H46^2)-F46*$F$8*(I46^(-1)-H46^(-1))+G46*$G$8/3*(I46^3-H46^3)</f>
        <v>2102.8252595111576</v>
      </c>
      <c r="L46" s="72">
        <f>K46/1000</f>
        <v>2.1028252595111576</v>
      </c>
      <c r="M46" s="73">
        <f>D46*(LN(I46)-LN(H46))+E46*$E$8*(I46-H46)-F46*$F$8/2*(I46^(-2)-H46^(-2))+G46*$G$8/2*(I46^2-H46^2)</f>
        <v>5.3500787817024147</v>
      </c>
      <c r="N46" s="2"/>
      <c r="O46" s="25">
        <f>LOOKUP($C$2,$H46:$I47,H46:H47)</f>
        <v>500</v>
      </c>
      <c r="P46" s="26">
        <f>TE</f>
        <v>800</v>
      </c>
      <c r="Q46" s="26">
        <f>LOOKUP($C$2,$H46:$I47,B46:B47)</f>
        <v>0</v>
      </c>
      <c r="R46" s="26">
        <f>LOOKUP($C$2,$H46:$I47,C46:C47)</f>
        <v>0</v>
      </c>
      <c r="S46" s="26">
        <f>LOOKUP($C$2,$H46:$I47,D46:D47)*D$8</f>
        <v>13.092568397521973</v>
      </c>
      <c r="T46" s="26">
        <f>LOOKUP($C$2,$H46:$I47,E46:E47)*E$8</f>
        <v>8.0059009790420536E-4</v>
      </c>
      <c r="U46" s="27">
        <f>LOOKUP($C$2,$H46:$I47,F46:F47)*F$8</f>
        <v>-591407.91893005371</v>
      </c>
      <c r="V46" s="26">
        <f>LOOKUP($C$2,$H46:$I47,G46:G47)*G$8</f>
        <v>-5.754398554563522E-8</v>
      </c>
      <c r="W46" s="26">
        <f>S46*(P46-O46)+T46/2*(P46^2-O46^2)-U46*(P46^(-1)-O46^(-1))+V46/3*(P46^3-O46^3)</f>
        <v>3632.9064750149846</v>
      </c>
      <c r="X46" s="28">
        <f>S46*(LN(P46)-LN(O46))+T46*(P46-O46)-U46/2*(P46^(-2)-O46^(-2))+V46/2*(P46^2-O46^2)</f>
        <v>5.6617322139772135</v>
      </c>
      <c r="Y46" s="2" t="str">
        <f>A45</f>
        <v>SO₂(g)</v>
      </c>
      <c r="Z46" s="52">
        <f>S46+T46*TE^$E$7+U46*TE^$F$7+V46*TE^$G$7</f>
        <v>12.772137451767922</v>
      </c>
      <c r="AA46" s="53" cm="1">
        <f t="array" ref="AA46">_xlfn.IFS(TE&lt;=I46,W46/1000+B46,TE&lt;=I47,W46/1000+B46+B47+L46)</f>
        <v>-65.204270706880095</v>
      </c>
      <c r="AB46" s="53" cm="1">
        <f t="array" ref="AB46">_xlfn.IFS(TE&lt;=I46,(C46+X46)/1000,TE&lt;=I47,(C46+X46+M46+C47)/1000)</f>
        <v>7.0337811209302686E-2</v>
      </c>
      <c r="AC46" s="54">
        <f>AA46-TE*AB46</f>
        <v>-121.47451967432224</v>
      </c>
    </row>
    <row r="47" spans="1:29" ht="15" x14ac:dyDescent="0.25">
      <c r="B47" s="74">
        <v>0</v>
      </c>
      <c r="C47" s="75">
        <v>0</v>
      </c>
      <c r="D47" s="75">
        <v>13.092568397521973</v>
      </c>
      <c r="E47" s="75">
        <v>0.80059009790420532</v>
      </c>
      <c r="F47" s="75">
        <v>-5.9140791893005371</v>
      </c>
      <c r="G47" s="75">
        <v>-5.7543985545635223E-2</v>
      </c>
      <c r="H47" s="75">
        <v>500</v>
      </c>
      <c r="I47" s="76">
        <v>5000</v>
      </c>
      <c r="K47" s="77">
        <f>D47*(I47-H47)+E47*$E$8/2*(I47^2-H47^2)-F47*$F$8*(I47^(-1)-H47^(-1))+G47*$G$8/3*(I47^3-H47^3)</f>
        <v>65364.057598002255</v>
      </c>
      <c r="L47" s="78">
        <f t="shared" ref="L47" si="4">K47/1000</f>
        <v>65.364057598002262</v>
      </c>
      <c r="M47" s="79">
        <f>D47*(LN(I47)-LN(H47))+E47*$E$8*(I47-H47)-F47*$F$8/2*(I47^(-2)-H47^(-2))+G47*$G$8/2*(I47^2-H47^2)</f>
        <v>31.866313761099228</v>
      </c>
    </row>
    <row r="48" spans="1:29" x14ac:dyDescent="0.2">
      <c r="A48" s="61"/>
    </row>
    <row r="49" spans="1:29" ht="33.75" customHeight="1" x14ac:dyDescent="0.2">
      <c r="A49" s="80"/>
      <c r="C49" s="80"/>
      <c r="E49" s="80"/>
      <c r="G49" s="80"/>
      <c r="I49" s="80"/>
      <c r="K49" s="80"/>
      <c r="M49" s="80"/>
      <c r="O49" s="80"/>
      <c r="Q49" s="80"/>
      <c r="S49" s="80"/>
      <c r="U49" s="80"/>
      <c r="W49" s="80"/>
      <c r="Y49" s="80"/>
      <c r="AA49" s="80"/>
      <c r="AC49" s="80"/>
    </row>
    <row r="50" spans="1:29" x14ac:dyDescent="0.2">
      <c r="A50" s="80"/>
    </row>
    <row r="51" spans="1:29" x14ac:dyDescent="0.2">
      <c r="A51" s="81"/>
    </row>
    <row r="52" spans="1:29" x14ac:dyDescent="0.2">
      <c r="A52" s="67"/>
    </row>
    <row r="53" spans="1:29" x14ac:dyDescent="0.2">
      <c r="A53" s="67"/>
    </row>
  </sheetData>
  <pageMargins left="0.7" right="0.7" top="0.75" bottom="0.75" header="0.3" footer="0.3"/>
  <pageSetup paperSize="9" orientation="portrait" horizontalDpi="4294967294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251578c-ec18-4725-9ec8-3bdaff9ec1d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7EED668E48664C8A8E317AB05B88FC" ma:contentTypeVersion="8" ma:contentTypeDescription="Create a new document." ma:contentTypeScope="" ma:versionID="d9d4ea99c03e4fc0bad64f390e9fd502">
  <xsd:schema xmlns:xsd="http://www.w3.org/2001/XMLSchema" xmlns:xs="http://www.w3.org/2001/XMLSchema" xmlns:p="http://schemas.microsoft.com/office/2006/metadata/properties" xmlns:ns3="0251578c-ec18-4725-9ec8-3bdaff9ec1d3" xmlns:ns4="57480206-107b-4f1b-9520-f2a0b2ea941e" targetNamespace="http://schemas.microsoft.com/office/2006/metadata/properties" ma:root="true" ma:fieldsID="29fea771bfaf9cc549f2582af57e7dcd" ns3:_="" ns4:_="">
    <xsd:import namespace="0251578c-ec18-4725-9ec8-3bdaff9ec1d3"/>
    <xsd:import namespace="57480206-107b-4f1b-9520-f2a0b2ea941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51578c-ec18-4725-9ec8-3bdaff9ec1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480206-107b-4f1b-9520-f2a0b2ea941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1CB54B0-4333-47F6-A4C3-1027C05A7B8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843CDC7-FD35-46A7-ABC7-60BD8D5E4859}">
  <ds:schemaRefs>
    <ds:schemaRef ds:uri="http://purl.org/dc/elements/1.1/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57480206-107b-4f1b-9520-f2a0b2ea941e"/>
    <ds:schemaRef ds:uri="0251578c-ec18-4725-9ec8-3bdaff9ec1d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A987A917-49DF-40BC-AD9D-9EC1DBB155A8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0251578c-ec18-4725-9ec8-3bdaff9ec1d3"/>
    <ds:schemaRef ds:uri="57480206-107b-4f1b-9520-f2a0b2ea941e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Cu</vt:lpstr>
      <vt:lpstr>Cu calculations</vt:lpstr>
      <vt:lpstr>B</vt:lpstr>
      <vt:lpstr>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Dandy Calla</dc:creator>
  <cp:lastModifiedBy>Dandy Calla Choque</cp:lastModifiedBy>
  <dcterms:created xsi:type="dcterms:W3CDTF">2023-03-25T13:51:49Z</dcterms:created>
  <dcterms:modified xsi:type="dcterms:W3CDTF">2024-03-24T17:43:39Z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0x010100CF7EED668E48664C8A8E317AB05B88FC</vt:lpwstr>
  </property>
</Properties>
</file>