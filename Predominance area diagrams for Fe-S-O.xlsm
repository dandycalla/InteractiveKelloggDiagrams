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atteduunam-my.sharepoint.com/personal/dcalla_unam_mx/Documents/Escritorio/GitHub/"/>
    </mc:Choice>
  </mc:AlternateContent>
  <xr:revisionPtr revIDLastSave="3" documentId="13_ncr:1_{1CA6692D-459B-49FC-9BE0-6FFBBB8187C8}" xr6:coauthVersionLast="47" xr6:coauthVersionMax="47" xr10:uidLastSave="{A19942DE-D65A-46C7-8C23-2CC737CF25EC}"/>
  <bookViews>
    <workbookView xWindow="20370" yWindow="-120" windowWidth="19440" windowHeight="14880" xr2:uid="{32A83D2C-1589-4279-B150-0BDE70BE9552}"/>
  </bookViews>
  <sheets>
    <sheet name="Fe" sheetId="1" r:id="rId1"/>
    <sheet name="Fe calculations" sheetId="2" r:id="rId2"/>
  </sheets>
  <definedNames>
    <definedName name="B">'Fe calculations'!$B$2</definedName>
    <definedName name="TE">'Fe calculations'!$C$2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2" i="1" l="1"/>
  <c r="AG48" i="1"/>
  <c r="AF57" i="1"/>
  <c r="AF35" i="1"/>
  <c r="AG29" i="1"/>
  <c r="AF26" i="1"/>
  <c r="Q2" i="1" l="1"/>
  <c r="L2" i="1" l="1"/>
  <c r="B2" i="2" s="1"/>
  <c r="C2" i="2" s="1"/>
  <c r="Q36" i="2" s="1"/>
  <c r="I27" i="1"/>
  <c r="I28" i="1"/>
  <c r="I29" i="1"/>
  <c r="I30" i="1"/>
  <c r="I31" i="1"/>
  <c r="I32" i="1"/>
  <c r="I33" i="1"/>
  <c r="I34" i="1"/>
  <c r="I35" i="1"/>
  <c r="I26" i="1"/>
  <c r="S12" i="1"/>
  <c r="T12" i="1"/>
  <c r="U12" i="1"/>
  <c r="X12" i="1"/>
  <c r="Y12" i="1"/>
  <c r="S11" i="1"/>
  <c r="U11" i="1"/>
  <c r="W11" i="1"/>
  <c r="X11" i="1"/>
  <c r="Y11" i="1"/>
  <c r="U10" i="1"/>
  <c r="V10" i="1"/>
  <c r="W10" i="1"/>
  <c r="X10" i="1"/>
  <c r="Y10" i="1"/>
  <c r="AA10" i="1"/>
  <c r="T9" i="1"/>
  <c r="U9" i="1"/>
  <c r="W9" i="1"/>
  <c r="X9" i="1"/>
  <c r="Y9" i="1"/>
  <c r="Y51" i="2"/>
  <c r="Y46" i="2"/>
  <c r="Y42" i="2"/>
  <c r="Y38" i="2"/>
  <c r="Y36" i="2"/>
  <c r="Y30" i="2"/>
  <c r="Y24" i="2"/>
  <c r="Y20" i="2"/>
  <c r="Y13" i="2"/>
  <c r="G8" i="2"/>
  <c r="F8" i="2"/>
  <c r="E8" i="2"/>
  <c r="D8" i="2"/>
  <c r="C3" i="2"/>
  <c r="X19" i="1"/>
  <c r="W19" i="1"/>
  <c r="V19" i="1"/>
  <c r="T19" i="1"/>
  <c r="S19" i="1"/>
  <c r="Y18" i="1"/>
  <c r="W18" i="1"/>
  <c r="V18" i="1"/>
  <c r="T18" i="1"/>
  <c r="S18" i="1"/>
  <c r="W17" i="1"/>
  <c r="V17" i="1"/>
  <c r="U17" i="1"/>
  <c r="T17" i="1"/>
  <c r="S17" i="1"/>
  <c r="Y16" i="1"/>
  <c r="W16" i="1"/>
  <c r="V16" i="1"/>
  <c r="S16" i="1"/>
  <c r="Y15" i="1"/>
  <c r="W15" i="1"/>
  <c r="V15" i="1"/>
  <c r="U15" i="1"/>
  <c r="S15" i="1"/>
  <c r="X14" i="1"/>
  <c r="V14" i="1"/>
  <c r="U14" i="1"/>
  <c r="S14" i="1"/>
  <c r="Y13" i="1"/>
  <c r="U13" i="1"/>
  <c r="T13" i="1"/>
  <c r="S13" i="1"/>
  <c r="T14" i="1"/>
  <c r="AA16" i="1"/>
  <c r="V13" i="1"/>
  <c r="X16" i="1"/>
  <c r="N1385" i="1"/>
  <c r="P1409" i="1"/>
  <c r="O1417" i="1"/>
  <c r="O1192" i="1"/>
  <c r="O1264" i="1"/>
  <c r="O1284" i="1"/>
  <c r="N1162" i="1"/>
  <c r="N1279" i="1"/>
  <c r="O1338" i="1"/>
  <c r="O1439" i="1"/>
  <c r="O1362" i="1"/>
  <c r="O1302" i="1"/>
  <c r="O1159" i="1"/>
  <c r="O1233" i="1"/>
  <c r="O1365" i="1"/>
  <c r="N1196" i="1"/>
  <c r="N1293" i="1"/>
  <c r="N1376" i="1"/>
  <c r="N1335" i="1"/>
  <c r="N1235" i="1"/>
  <c r="N1430" i="1"/>
  <c r="N1317" i="1"/>
  <c r="N1249" i="1"/>
  <c r="N1277" i="1"/>
  <c r="N1374" i="1"/>
  <c r="N1250" i="1"/>
  <c r="N1233" i="1"/>
  <c r="N1306" i="1"/>
  <c r="N1405" i="1"/>
  <c r="N1292" i="1"/>
  <c r="N1288" i="1"/>
  <c r="N1325" i="1"/>
  <c r="N1263" i="1"/>
  <c r="N1195" i="1"/>
  <c r="P1173" i="1"/>
  <c r="P1155" i="1"/>
  <c r="N1159" i="1"/>
  <c r="N1290" i="1"/>
  <c r="N1223" i="1"/>
  <c r="P1167" i="1"/>
  <c r="N1167" i="1"/>
  <c r="N1365" i="1"/>
  <c r="N1417" i="1"/>
  <c r="N1238" i="1"/>
  <c r="N1438" i="1"/>
  <c r="N1145" i="1"/>
  <c r="N1299" i="1"/>
  <c r="N1319" i="1"/>
  <c r="N1402" i="1"/>
  <c r="N1424" i="1"/>
  <c r="N1155" i="1"/>
  <c r="N1343" i="1"/>
  <c r="N1410" i="1"/>
  <c r="N1340" i="1"/>
  <c r="N1289" i="1"/>
  <c r="N1408" i="1"/>
  <c r="N1231" i="1"/>
  <c r="N1301" i="1"/>
  <c r="N1324" i="1"/>
  <c r="N1280" i="1"/>
  <c r="N1244" i="1"/>
  <c r="N1415" i="1"/>
  <c r="N1156" i="1"/>
  <c r="N1326" i="1"/>
  <c r="N1411" i="1"/>
  <c r="N1236" i="1"/>
  <c r="N1166" i="1"/>
  <c r="N1214" i="1"/>
  <c r="N1169" i="1"/>
  <c r="N1173" i="1"/>
  <c r="N1224" i="1"/>
  <c r="N1171" i="1"/>
  <c r="N1194" i="1"/>
  <c r="N1341" i="1"/>
  <c r="N1332" i="1"/>
  <c r="N1308" i="1"/>
  <c r="N1294" i="1"/>
  <c r="N1209" i="1"/>
  <c r="N1254" i="1"/>
  <c r="N1428" i="1"/>
  <c r="N1314" i="1"/>
  <c r="N1356" i="1"/>
  <c r="N1443" i="1"/>
  <c r="N1221" i="1"/>
  <c r="N1215" i="1"/>
  <c r="N1421" i="1"/>
  <c r="N1401" i="1"/>
  <c r="N1355" i="1"/>
  <c r="N1296" i="1"/>
  <c r="N1346" i="1"/>
  <c r="N1257" i="1"/>
  <c r="N1316" i="1"/>
  <c r="N1211" i="1"/>
  <c r="N1177" i="1"/>
  <c r="N1353" i="1"/>
  <c r="N1387" i="1"/>
  <c r="N1149" i="1"/>
  <c r="N1287" i="1"/>
  <c r="N1241" i="1"/>
  <c r="N1303" i="1"/>
  <c r="N1434" i="1"/>
  <c r="N1253" i="1"/>
  <c r="N1349" i="1"/>
  <c r="N1283" i="1"/>
  <c r="N1432" i="1"/>
  <c r="N1364" i="1"/>
  <c r="N1338" i="1"/>
  <c r="N1199" i="1"/>
  <c r="N1392" i="1"/>
  <c r="N1330" i="1"/>
  <c r="P1272" i="1"/>
  <c r="N1345" i="1"/>
  <c r="N1373" i="1"/>
  <c r="N1185" i="1"/>
  <c r="N1204" i="1"/>
  <c r="N1439" i="1"/>
  <c r="N1312" i="1"/>
  <c r="N1255" i="1"/>
  <c r="N1266" i="1"/>
  <c r="N1429" i="1"/>
  <c r="N1406" i="1"/>
  <c r="N1295" i="1"/>
  <c r="N1302" i="1"/>
  <c r="N1437" i="1"/>
  <c r="N1182" i="1"/>
  <c r="N1184" i="1"/>
  <c r="N1399" i="1"/>
  <c r="N1216" i="1"/>
  <c r="N1226" i="1"/>
  <c r="N1198" i="1"/>
  <c r="N1344" i="1"/>
  <c r="N1172" i="1"/>
  <c r="N1367" i="1"/>
  <c r="N1298" i="1"/>
  <c r="N1154" i="1"/>
  <c r="N1275" i="1"/>
  <c r="N1393" i="1"/>
  <c r="N1407" i="1"/>
  <c r="N1350" i="1"/>
  <c r="N1368" i="1"/>
  <c r="N1164" i="1"/>
  <c r="N1361" i="1"/>
  <c r="N1420" i="1"/>
  <c r="N1435" i="1"/>
  <c r="N1205" i="1"/>
  <c r="N1239" i="1"/>
  <c r="N1304" i="1"/>
  <c r="N1310" i="1"/>
  <c r="N1370" i="1"/>
  <c r="N1262" i="1"/>
  <c r="N1168" i="1"/>
  <c r="N1242" i="1"/>
  <c r="N1300" i="1"/>
  <c r="N1436" i="1"/>
  <c r="N1426" i="1"/>
  <c r="N1147" i="1"/>
  <c r="N1352" i="1"/>
  <c r="N1394" i="1"/>
  <c r="N1256" i="1"/>
  <c r="N1261" i="1"/>
  <c r="N1328" i="1"/>
  <c r="N1351" i="1"/>
  <c r="N1170" i="1"/>
  <c r="N1390" i="1"/>
  <c r="N1404" i="1"/>
  <c r="N1397" i="1"/>
  <c r="N1395" i="1"/>
  <c r="N1380" i="1"/>
  <c r="N1441" i="1"/>
  <c r="N1229" i="1"/>
  <c r="N1271" i="1"/>
  <c r="N1160" i="1"/>
  <c r="N1342" i="1"/>
  <c r="N1327" i="1"/>
  <c r="N1243" i="1"/>
  <c r="N1354" i="1"/>
  <c r="N1391" i="1"/>
  <c r="N1359" i="1"/>
  <c r="N1422" i="1"/>
  <c r="N1334" i="1"/>
  <c r="N1386" i="1"/>
  <c r="N1378" i="1"/>
  <c r="N1286" i="1"/>
  <c r="N1313" i="1"/>
  <c r="N1423" i="1"/>
  <c r="N1153" i="1"/>
  <c r="N1362" i="1"/>
  <c r="N1245" i="1"/>
  <c r="N1274" i="1"/>
  <c r="N1258" i="1"/>
  <c r="N1281" i="1"/>
  <c r="N1247" i="1"/>
  <c r="N1366" i="1"/>
  <c r="N1369" i="1"/>
  <c r="N1188" i="1"/>
  <c r="N1193" i="1"/>
  <c r="N1179" i="1"/>
  <c r="N1371" i="1"/>
  <c r="N1217" i="1"/>
  <c r="N1158" i="1"/>
  <c r="N1189" i="1"/>
  <c r="N1219" i="1"/>
  <c r="N1398" i="1"/>
  <c r="N1251" i="1"/>
  <c r="N1278" i="1"/>
  <c r="N1237" i="1"/>
  <c r="N1186" i="1"/>
  <c r="N1246" i="1"/>
  <c r="N1220" i="1"/>
  <c r="N1416" i="1"/>
  <c r="N1175" i="1"/>
  <c r="N1358" i="1"/>
  <c r="N1276" i="1"/>
  <c r="N1161" i="1"/>
  <c r="N1360" i="1"/>
  <c r="N1284" i="1"/>
  <c r="N1267" i="1"/>
  <c r="N1218" i="1"/>
  <c r="N1347" i="1"/>
  <c r="N1265" i="1"/>
  <c r="N1320" i="1"/>
  <c r="N1309" i="1"/>
  <c r="N1268" i="1"/>
  <c r="N1180" i="1"/>
  <c r="N1227" i="1"/>
  <c r="N1388" i="1"/>
  <c r="N1403" i="1"/>
  <c r="N1222" i="1"/>
  <c r="N1202" i="1"/>
  <c r="N1163" i="1"/>
  <c r="N1333" i="1"/>
  <c r="N1191" i="1"/>
  <c r="N1183" i="1"/>
  <c r="N1440" i="1"/>
  <c r="N1285" i="1"/>
  <c r="N1232" i="1"/>
  <c r="N1400" i="1"/>
  <c r="N1225" i="1"/>
  <c r="N1148" i="1"/>
  <c r="P1269" i="1"/>
  <c r="P1424" i="1"/>
  <c r="N1372" i="1"/>
  <c r="N1337" i="1"/>
  <c r="N1331" i="1"/>
  <c r="N1425" i="1"/>
  <c r="N1272" i="1"/>
  <c r="N1419" i="1"/>
  <c r="N1311" i="1"/>
  <c r="N1291" i="1"/>
  <c r="N1315" i="1"/>
  <c r="N1157" i="1"/>
  <c r="N1230" i="1"/>
  <c r="N1150" i="1"/>
  <c r="N1212" i="1"/>
  <c r="N1151" i="1"/>
  <c r="N1413" i="1"/>
  <c r="N1375" i="1"/>
  <c r="N1190" i="1"/>
  <c r="N1208" i="1"/>
  <c r="N1213" i="1"/>
  <c r="N1414" i="1"/>
  <c r="N1336" i="1"/>
  <c r="N1165" i="1"/>
  <c r="N1192" i="1"/>
  <c r="N1264" i="1"/>
  <c r="N1207" i="1"/>
  <c r="N1248" i="1"/>
  <c r="N1427" i="1"/>
  <c r="N1228" i="1"/>
  <c r="N1259" i="1"/>
  <c r="N1234" i="1"/>
  <c r="N1323" i="1"/>
  <c r="N1240" i="1"/>
  <c r="N1305" i="1"/>
  <c r="N1297" i="1"/>
  <c r="N1270" i="1"/>
  <c r="N1252" i="1"/>
  <c r="N1409" i="1"/>
  <c r="N1339" i="1"/>
  <c r="N1201" i="1"/>
  <c r="N1384" i="1"/>
  <c r="N1348" i="1"/>
  <c r="N1382" i="1"/>
  <c r="N1444" i="1"/>
  <c r="N1383" i="1"/>
  <c r="N1357" i="1"/>
  <c r="N1210" i="1"/>
  <c r="N1321" i="1"/>
  <c r="N1433" i="1"/>
  <c r="N1178" i="1"/>
  <c r="N1152" i="1"/>
  <c r="N1273" i="1"/>
  <c r="N1389" i="1"/>
  <c r="N1377" i="1"/>
  <c r="N1176" i="1"/>
  <c r="N1269" i="1"/>
  <c r="N1381" i="1"/>
  <c r="N1181" i="1"/>
  <c r="N1363" i="1"/>
  <c r="N1197" i="1"/>
  <c r="N1203" i="1"/>
  <c r="N1418" i="1"/>
  <c r="N1174" i="1"/>
  <c r="N1442" i="1"/>
  <c r="N1307" i="1"/>
  <c r="N1329" i="1"/>
  <c r="N1412" i="1"/>
  <c r="N1318" i="1"/>
  <c r="N1379" i="1"/>
  <c r="N1260" i="1"/>
  <c r="N1396" i="1"/>
  <c r="N1200" i="1"/>
  <c r="N1431" i="1"/>
  <c r="N1187" i="1"/>
  <c r="N1322" i="1"/>
  <c r="N1206" i="1"/>
  <c r="N1146" i="1"/>
  <c r="P1407" i="1"/>
  <c r="P1196" i="1"/>
  <c r="P1227" i="1"/>
  <c r="N1282" i="1"/>
  <c r="P1234" i="1"/>
  <c r="P1280" i="1"/>
  <c r="P1292" i="1"/>
  <c r="P1222" i="1"/>
  <c r="P1247" i="1"/>
  <c r="P1430" i="1"/>
  <c r="P1385" i="1"/>
  <c r="P1213" i="1"/>
  <c r="P1441" i="1"/>
  <c r="P1435" i="1"/>
  <c r="P1339" i="1"/>
  <c r="P1206" i="1"/>
  <c r="P1186" i="1"/>
  <c r="P1294" i="1"/>
  <c r="P1363" i="1"/>
  <c r="P1372" i="1"/>
  <c r="P1205" i="1"/>
  <c r="P1235" i="1"/>
  <c r="P1401" i="1"/>
  <c r="P1373" i="1"/>
  <c r="P1397" i="1"/>
  <c r="P1263" i="1"/>
  <c r="P1347" i="1"/>
  <c r="P1149" i="1"/>
  <c r="P1162" i="1"/>
  <c r="P1250" i="1"/>
  <c r="P1408" i="1"/>
  <c r="P1298" i="1"/>
  <c r="P1220" i="1"/>
  <c r="P1300" i="1"/>
  <c r="P1146" i="1"/>
  <c r="P1170" i="1"/>
  <c r="P1384" i="1"/>
  <c r="P1337" i="1"/>
  <c r="P1248" i="1"/>
  <c r="P1166" i="1"/>
  <c r="P1231" i="1"/>
  <c r="P1253" i="1"/>
  <c r="P1417" i="1"/>
  <c r="P1262" i="1"/>
  <c r="P1164" i="1"/>
  <c r="P1325" i="1"/>
  <c r="P1297" i="1"/>
  <c r="P1367" i="1"/>
  <c r="P1423" i="1"/>
  <c r="P1161" i="1"/>
  <c r="P1177" i="1"/>
  <c r="P1198" i="1"/>
  <c r="P1331" i="1"/>
  <c r="P1284" i="1"/>
  <c r="P1215" i="1"/>
  <c r="P1288" i="1"/>
  <c r="P1299" i="1"/>
  <c r="P1245" i="1"/>
  <c r="P1432" i="1"/>
  <c r="P1382" i="1"/>
  <c r="P1314" i="1"/>
  <c r="P1388" i="1"/>
  <c r="P1321" i="1"/>
  <c r="P1268" i="1"/>
  <c r="P1168" i="1"/>
  <c r="P1259" i="1"/>
  <c r="P1426" i="1"/>
  <c r="P1308" i="1"/>
  <c r="P1214" i="1"/>
  <c r="P1428" i="1"/>
  <c r="P1150" i="1"/>
  <c r="P1249" i="1"/>
  <c r="P1327" i="1"/>
  <c r="P1232" i="1"/>
  <c r="P1400" i="1"/>
  <c r="P1183" i="1"/>
  <c r="P1317" i="1"/>
  <c r="P1353" i="1"/>
  <c r="P1147" i="1"/>
  <c r="P1291" i="1"/>
  <c r="P1278" i="1"/>
  <c r="P1346" i="1"/>
  <c r="P1193" i="1"/>
  <c r="P1210" i="1"/>
  <c r="P1341" i="1"/>
  <c r="P1176" i="1"/>
  <c r="P1223" i="1"/>
  <c r="P1398" i="1"/>
  <c r="P1243" i="1"/>
  <c r="P1251" i="1"/>
  <c r="P1362" i="1"/>
  <c r="P1418" i="1"/>
  <c r="P1217" i="1"/>
  <c r="P1258" i="1"/>
  <c r="P1236" i="1"/>
  <c r="P1175" i="1"/>
  <c r="P1226" i="1"/>
  <c r="P1364" i="1"/>
  <c r="P1283" i="1"/>
  <c r="P1244" i="1"/>
  <c r="P1240" i="1"/>
  <c r="P1345" i="1"/>
  <c r="P1219" i="1"/>
  <c r="P1433" i="1"/>
  <c r="P1174" i="1"/>
  <c r="P1153" i="1"/>
  <c r="P1276" i="1"/>
  <c r="P1179" i="1"/>
  <c r="P1180" i="1"/>
  <c r="P1366" i="1"/>
  <c r="P1182" i="1"/>
  <c r="P1295" i="1"/>
  <c r="P1238" i="1"/>
  <c r="P1438" i="1"/>
  <c r="P1354" i="1"/>
  <c r="P1296" i="1"/>
  <c r="P1171" i="1"/>
  <c r="P1187" i="1"/>
  <c r="P1380" i="1"/>
  <c r="P1391" i="1"/>
  <c r="P1348" i="1"/>
  <c r="P1306" i="1"/>
  <c r="P1192" i="1"/>
  <c r="P1319" i="1"/>
  <c r="P1379" i="1"/>
  <c r="P1357" i="1"/>
  <c r="P1419" i="1"/>
  <c r="P1165" i="1"/>
  <c r="P1282" i="1"/>
  <c r="P1434" i="1"/>
  <c r="P1225" i="1"/>
  <c r="P1383" i="1"/>
  <c r="P1389" i="1"/>
  <c r="P1304" i="1"/>
  <c r="P1172" i="1"/>
  <c r="P1270" i="1"/>
  <c r="P1194" i="1"/>
  <c r="P1340" i="1"/>
  <c r="P1207" i="1"/>
  <c r="P1320" i="1"/>
  <c r="P1224" i="1"/>
  <c r="P1374" i="1"/>
  <c r="P1338" i="1"/>
  <c r="P1324" i="1"/>
  <c r="P1302" i="1"/>
  <c r="P1301" i="1"/>
  <c r="P1440" i="1"/>
  <c r="P1230" i="1"/>
  <c r="P1274" i="1"/>
  <c r="P1381" i="1"/>
  <c r="P1203" i="1"/>
  <c r="P1416" i="1"/>
  <c r="P1181" i="1"/>
  <c r="P1421" i="1"/>
  <c r="P1154" i="1"/>
  <c r="P1242" i="1"/>
  <c r="P1256" i="1"/>
  <c r="P1390" i="1"/>
  <c r="P1185" i="1"/>
  <c r="P1160" i="1"/>
  <c r="P1361" i="1"/>
  <c r="P1275" i="1"/>
  <c r="P1403" i="1"/>
  <c r="P1359" i="1"/>
  <c r="P1422" i="1"/>
  <c r="P1393" i="1"/>
  <c r="P1233" i="1"/>
  <c r="P1335" i="1"/>
  <c r="P1197" i="1"/>
  <c r="P1378" i="1"/>
  <c r="P1411" i="1"/>
  <c r="P1343" i="1"/>
  <c r="P1266" i="1"/>
  <c r="P1429" i="1"/>
  <c r="P1328" i="1"/>
  <c r="P1188" i="1"/>
  <c r="P1265" i="1"/>
  <c r="P1375" i="1"/>
  <c r="P1254" i="1"/>
  <c r="P1289" i="1"/>
  <c r="P1336" i="1"/>
  <c r="P1202" i="1"/>
  <c r="P1286" i="1"/>
  <c r="P1351" i="1"/>
  <c r="P1333" i="1"/>
  <c r="P1246" i="1"/>
  <c r="P1152" i="1"/>
  <c r="P1437" i="1"/>
  <c r="P1158" i="1"/>
  <c r="P1410" i="1"/>
  <c r="P1216" i="1"/>
  <c r="P1344" i="1"/>
  <c r="P1332" i="1"/>
  <c r="P1261" i="1"/>
  <c r="P1204" i="1"/>
  <c r="P1387" i="1"/>
  <c r="P1412" i="1"/>
  <c r="P1267" i="1"/>
  <c r="P1425" i="1"/>
  <c r="P1309" i="1"/>
  <c r="P1189" i="1"/>
  <c r="P1350" i="1"/>
  <c r="P1342" i="1"/>
  <c r="P1208" i="1"/>
  <c r="P1349" i="1"/>
  <c r="P1369" i="1"/>
  <c r="P1371" i="1"/>
  <c r="P1402" i="1"/>
  <c r="P1436" i="1"/>
  <c r="P1212" i="1"/>
  <c r="P1312" i="1"/>
  <c r="P1323" i="1"/>
  <c r="P1218" i="1"/>
  <c r="P1277" i="1"/>
  <c r="P1209" i="1"/>
  <c r="P1229" i="1"/>
  <c r="P1148" i="1"/>
  <c r="P1307" i="1"/>
  <c r="P1190" i="1"/>
  <c r="P1329" i="1"/>
  <c r="P1330" i="1"/>
  <c r="P1356" i="1"/>
  <c r="P1195" i="1"/>
  <c r="P1159" i="1"/>
  <c r="P1271" i="1"/>
  <c r="P1318" i="1"/>
  <c r="P1311" i="1"/>
  <c r="P1184" i="1"/>
  <c r="P1241" i="1"/>
  <c r="P1281" i="1"/>
  <c r="P1443" i="1"/>
  <c r="P1156" i="1"/>
  <c r="P1290" i="1"/>
  <c r="P1221" i="1"/>
  <c r="P1376" i="1"/>
  <c r="P1414" i="1"/>
  <c r="P1370" i="1"/>
  <c r="P1368" i="1"/>
  <c r="P1273" i="1"/>
  <c r="P1322" i="1"/>
  <c r="P1257" i="1"/>
  <c r="P1358" i="1"/>
  <c r="P1444" i="1"/>
  <c r="P1431" i="1"/>
  <c r="P1157" i="1"/>
  <c r="P1305" i="1"/>
  <c r="P1200" i="1"/>
  <c r="P1255" i="1"/>
  <c r="P1279" i="1"/>
  <c r="P1169" i="1"/>
  <c r="P1315" i="1"/>
  <c r="P1365" i="1"/>
  <c r="P1326" i="1"/>
  <c r="P1420" i="1"/>
  <c r="P1151" i="1"/>
  <c r="P1355" i="1"/>
  <c r="P1145" i="1"/>
  <c r="P1439" i="1"/>
  <c r="P1377" i="1"/>
  <c r="P1442" i="1"/>
  <c r="P1303" i="1"/>
  <c r="P1237" i="1"/>
  <c r="P1310" i="1"/>
  <c r="P1360" i="1"/>
  <c r="P1211" i="1"/>
  <c r="P1293" i="1"/>
  <c r="P1392" i="1"/>
  <c r="P1285" i="1"/>
  <c r="P1396" i="1"/>
  <c r="P1415" i="1"/>
  <c r="P1199" i="1"/>
  <c r="P1413" i="1"/>
  <c r="P1394" i="1"/>
  <c r="P1406" i="1"/>
  <c r="P1163" i="1"/>
  <c r="P1404" i="1"/>
  <c r="P1287" i="1"/>
  <c r="P1228" i="1"/>
  <c r="P1405" i="1"/>
  <c r="P1334" i="1"/>
  <c r="P1352" i="1"/>
  <c r="P1252" i="1"/>
  <c r="P1427" i="1"/>
  <c r="P1395" i="1"/>
  <c r="P1313" i="1"/>
  <c r="P1201" i="1"/>
  <c r="P1386" i="1"/>
  <c r="P1260" i="1"/>
  <c r="P1399" i="1"/>
  <c r="P1316" i="1"/>
  <c r="P1191" i="1"/>
  <c r="P1264" i="1"/>
  <c r="P1239" i="1"/>
  <c r="P1178" i="1"/>
  <c r="O1434" i="1"/>
  <c r="O1360" i="1"/>
  <c r="O1178" i="1"/>
  <c r="O1334" i="1"/>
  <c r="O1340" i="1"/>
  <c r="O1372" i="1"/>
  <c r="O1395" i="1"/>
  <c r="O1169" i="1"/>
  <c r="O1419" i="1"/>
  <c r="O1299" i="1"/>
  <c r="O1215" i="1"/>
  <c r="O1335" i="1"/>
  <c r="O1304" i="1"/>
  <c r="O1385" i="1"/>
  <c r="O1238" i="1"/>
  <c r="O1276" i="1"/>
  <c r="O1324" i="1"/>
  <c r="O1443" i="1"/>
  <c r="O1280" i="1"/>
  <c r="O1310" i="1"/>
  <c r="O1405" i="1"/>
  <c r="O1216" i="1"/>
  <c r="O1256" i="1"/>
  <c r="O1272" i="1"/>
  <c r="O1225" i="1"/>
  <c r="O1331" i="1"/>
  <c r="O1442" i="1"/>
  <c r="O1222" i="1"/>
  <c r="O1408" i="1"/>
  <c r="O1152" i="1"/>
  <c r="O1321" i="1"/>
  <c r="O1269" i="1"/>
  <c r="O1431" i="1"/>
  <c r="O1397" i="1"/>
  <c r="O1153" i="1"/>
  <c r="O1249" i="1"/>
  <c r="O1202" i="1"/>
  <c r="O1345" i="1"/>
  <c r="O1195" i="1"/>
  <c r="O1401" i="1"/>
  <c r="O1430" i="1"/>
  <c r="O1145" i="1"/>
  <c r="O1164" i="1"/>
  <c r="O1281" i="1"/>
  <c r="O1273" i="1"/>
  <c r="O1344" i="1"/>
  <c r="O1441" i="1"/>
  <c r="O1255" i="1"/>
  <c r="O1386" i="1"/>
  <c r="O1307" i="1"/>
  <c r="O1173" i="1"/>
  <c r="O1343" i="1"/>
  <c r="O1186" i="1"/>
  <c r="O1198" i="1"/>
  <c r="O1282" i="1"/>
  <c r="O1243" i="1"/>
  <c r="O1407" i="1"/>
  <c r="O1185" i="1"/>
  <c r="O1187" i="1"/>
  <c r="O1342" i="1"/>
  <c r="O1166" i="1"/>
  <c r="O1274" i="1"/>
  <c r="O1207" i="1"/>
  <c r="O1296" i="1"/>
  <c r="O1267" i="1"/>
  <c r="O1290" i="1"/>
  <c r="O1161" i="1"/>
  <c r="O1241" i="1"/>
  <c r="O1427" i="1"/>
  <c r="O1194" i="1"/>
  <c r="O1209" i="1"/>
  <c r="O1328" i="1"/>
  <c r="O1316" i="1"/>
  <c r="O1254" i="1"/>
  <c r="O1182" i="1"/>
  <c r="O1424" i="1"/>
  <c r="O1318" i="1"/>
  <c r="O1308" i="1"/>
  <c r="O1432" i="1"/>
  <c r="O1206" i="1"/>
  <c r="O1352" i="1"/>
  <c r="O1350" i="1"/>
  <c r="O1333" i="1"/>
  <c r="O1306" i="1"/>
  <c r="O1317" i="1"/>
  <c r="O1211" i="1"/>
  <c r="O1148" i="1"/>
  <c r="O1367" i="1"/>
  <c r="O1380" i="1"/>
  <c r="O1309" i="1"/>
  <c r="O1337" i="1"/>
  <c r="O1319" i="1"/>
  <c r="O1219" i="1"/>
  <c r="O1406" i="1"/>
  <c r="O1149" i="1"/>
  <c r="O1399" i="1"/>
  <c r="O1394" i="1"/>
  <c r="O1437" i="1"/>
  <c r="O1326" i="1"/>
  <c r="O1315" i="1"/>
  <c r="O1320" i="1"/>
  <c r="O1176" i="1"/>
  <c r="O1252" i="1"/>
  <c r="O1300" i="1"/>
  <c r="O1197" i="1"/>
  <c r="O1444" i="1"/>
  <c r="O1303" i="1"/>
  <c r="O1179" i="1"/>
  <c r="O1363" i="1"/>
  <c r="O1156" i="1"/>
  <c r="O1253" i="1"/>
  <c r="O1232" i="1"/>
  <c r="O1322" i="1"/>
  <c r="O1332" i="1"/>
  <c r="O1393" i="1"/>
  <c r="O1150" i="1"/>
  <c r="O1163" i="1"/>
  <c r="O1239" i="1"/>
  <c r="O1193" i="1"/>
  <c r="O1217" i="1"/>
  <c r="O1218" i="1"/>
  <c r="O1160" i="1"/>
  <c r="O1390" i="1"/>
  <c r="O1275" i="1"/>
  <c r="O1346" i="1"/>
  <c r="O1314" i="1"/>
  <c r="O1220" i="1"/>
  <c r="O1311" i="1"/>
  <c r="O1420" i="1"/>
  <c r="O1278" i="1"/>
  <c r="O1374" i="1"/>
  <c r="O1235" i="1"/>
  <c r="O1418" i="1"/>
  <c r="O1172" i="1"/>
  <c r="O1396" i="1"/>
  <c r="O1208" i="1"/>
  <c r="O1184" i="1"/>
  <c r="O1289" i="1"/>
  <c r="O1230" i="1"/>
  <c r="O1428" i="1"/>
  <c r="O1181" i="1"/>
  <c r="O1373" i="1"/>
  <c r="O1369" i="1"/>
  <c r="O1240" i="1"/>
  <c r="O1421" i="1"/>
  <c r="O1190" i="1"/>
  <c r="O1245" i="1"/>
  <c r="O1422" i="1"/>
  <c r="O1155" i="1"/>
  <c r="O1227" i="1"/>
  <c r="O1382" i="1"/>
  <c r="O1293" i="1"/>
  <c r="O1226" i="1"/>
  <c r="O1167" i="1"/>
  <c r="O1387" i="1"/>
  <c r="O1291" i="1"/>
  <c r="O1260" i="1"/>
  <c r="O1157" i="1"/>
  <c r="O1349" i="1"/>
  <c r="O1301" i="1"/>
  <c r="O1259" i="1"/>
  <c r="O1205" i="1"/>
  <c r="O1191" i="1"/>
  <c r="O1400" i="1"/>
  <c r="O1200" i="1"/>
  <c r="O1323" i="1"/>
  <c r="O1212" i="1"/>
  <c r="O1298" i="1"/>
  <c r="O1364" i="1"/>
  <c r="O1392" i="1"/>
  <c r="O1286" i="1"/>
  <c r="O1234" i="1"/>
  <c r="O1410" i="1"/>
  <c r="O1327" i="1"/>
  <c r="O1356" i="1"/>
  <c r="O1425" i="1"/>
  <c r="O1244" i="1"/>
  <c r="O1242" i="1"/>
  <c r="O1262" i="1"/>
  <c r="O1250" i="1"/>
  <c r="O1414" i="1"/>
  <c r="O1313" i="1"/>
  <c r="O1177" i="1"/>
  <c r="O1224" i="1"/>
  <c r="O1398" i="1"/>
  <c r="O1162" i="1"/>
  <c r="O1258" i="1"/>
  <c r="O1355" i="1"/>
  <c r="O1174" i="1"/>
  <c r="O1389" i="1"/>
  <c r="O1404" i="1"/>
  <c r="O1361" i="1"/>
  <c r="O1236" i="1"/>
  <c r="O1348" i="1"/>
  <c r="O1288" i="1"/>
  <c r="O1165" i="1"/>
  <c r="O1297" i="1"/>
  <c r="O1353" i="1"/>
  <c r="O1147" i="1"/>
  <c r="O1305" i="1"/>
  <c r="O1271" i="1"/>
  <c r="O1158" i="1"/>
  <c r="O1359" i="1"/>
  <c r="O1170" i="1"/>
  <c r="O1347" i="1"/>
  <c r="O1312" i="1"/>
  <c r="O1168" i="1"/>
  <c r="O1268" i="1"/>
  <c r="O1409" i="1"/>
  <c r="O1257" i="1"/>
  <c r="O1146" i="1"/>
  <c r="O1375" i="1"/>
  <c r="O1266" i="1"/>
  <c r="O1237" i="1"/>
  <c r="O1196" i="1"/>
  <c r="O1384" i="1"/>
  <c r="O1270" i="1"/>
  <c r="O1188" i="1"/>
  <c r="O1210" i="1"/>
  <c r="O1433" i="1"/>
  <c r="O1376" i="1"/>
  <c r="O1277" i="1"/>
  <c r="O1223" i="1"/>
  <c r="O1171" i="1"/>
  <c r="O1381" i="1"/>
  <c r="O1246" i="1"/>
  <c r="O1377" i="1"/>
  <c r="O1339" i="1"/>
  <c r="O1279" i="1"/>
  <c r="O1151" i="1"/>
  <c r="O1368" i="1"/>
  <c r="O1438" i="1"/>
  <c r="O1423" i="1"/>
  <c r="O1358" i="1"/>
  <c r="O1221" i="1"/>
  <c r="O1285" i="1"/>
  <c r="O1204" i="1"/>
  <c r="O1357" i="1"/>
  <c r="O1440" i="1"/>
  <c r="O1412" i="1"/>
  <c r="O1435" i="1"/>
  <c r="O1341" i="1"/>
  <c r="O1265" i="1"/>
  <c r="O1231" i="1"/>
  <c r="O1199" i="1"/>
  <c r="O1201" i="1"/>
  <c r="O1251" i="1"/>
  <c r="O1429" i="1"/>
  <c r="O1436" i="1"/>
  <c r="O1330" i="1"/>
  <c r="O1426" i="1"/>
  <c r="O1371" i="1"/>
  <c r="O1183" i="1"/>
  <c r="O1370" i="1"/>
  <c r="O1213" i="1"/>
  <c r="O1294" i="1"/>
  <c r="O1292" i="1"/>
  <c r="O1263" i="1"/>
  <c r="O1261" i="1"/>
  <c r="O1189" i="1"/>
  <c r="O1366" i="1"/>
  <c r="O1354" i="1"/>
  <c r="O1336" i="1"/>
  <c r="O1325" i="1"/>
  <c r="O1248" i="1"/>
  <c r="O1391" i="1"/>
  <c r="O1329" i="1"/>
  <c r="O1203" i="1"/>
  <c r="O1247" i="1"/>
  <c r="O1287" i="1"/>
  <c r="O1180" i="1"/>
  <c r="O1283" i="1"/>
  <c r="O1378" i="1"/>
  <c r="O1411" i="1"/>
  <c r="O1214" i="1"/>
  <c r="O1229" i="1"/>
  <c r="O1416" i="1"/>
  <c r="O1413" i="1"/>
  <c r="O1403" i="1"/>
  <c r="O1351" i="1"/>
  <c r="O1402" i="1"/>
  <c r="O1154" i="1"/>
  <c r="O1228" i="1"/>
  <c r="O1388" i="1"/>
  <c r="O1295" i="1"/>
  <c r="O1383" i="1"/>
  <c r="O1175" i="1"/>
  <c r="O1415" i="1"/>
  <c r="O1379" i="1"/>
  <c r="K14" i="2" l="1"/>
  <c r="L14" i="2" s="1"/>
  <c r="S51" i="2"/>
  <c r="V51" i="2"/>
  <c r="U51" i="2"/>
  <c r="T51" i="2"/>
  <c r="V38" i="2"/>
  <c r="S46" i="2"/>
  <c r="V46" i="2"/>
  <c r="U46" i="2"/>
  <c r="T46" i="2"/>
  <c r="U38" i="2"/>
  <c r="T38" i="2"/>
  <c r="S42" i="2"/>
  <c r="V42" i="2"/>
  <c r="U42" i="2"/>
  <c r="T42" i="2"/>
  <c r="S38" i="2"/>
  <c r="R36" i="2"/>
  <c r="S36" i="2"/>
  <c r="V36" i="2"/>
  <c r="U36" i="2"/>
  <c r="T36" i="2"/>
  <c r="O36" i="2"/>
  <c r="U30" i="2"/>
  <c r="U24" i="2"/>
  <c r="V24" i="2"/>
  <c r="S30" i="2"/>
  <c r="T20" i="2"/>
  <c r="T30" i="2"/>
  <c r="S24" i="2"/>
  <c r="V30" i="2"/>
  <c r="T24" i="2"/>
  <c r="S20" i="2"/>
  <c r="M27" i="2"/>
  <c r="V20" i="2"/>
  <c r="U20" i="2"/>
  <c r="M46" i="2"/>
  <c r="K43" i="2"/>
  <c r="L43" i="2" s="1"/>
  <c r="K20" i="2"/>
  <c r="L20" i="2" s="1"/>
  <c r="K24" i="2"/>
  <c r="L24" i="2" s="1"/>
  <c r="K25" i="2"/>
  <c r="L25" i="2" s="1"/>
  <c r="M49" i="2"/>
  <c r="K27" i="2"/>
  <c r="L27" i="2" s="1"/>
  <c r="M48" i="2"/>
  <c r="K32" i="2"/>
  <c r="L32" i="2" s="1"/>
  <c r="K26" i="2"/>
  <c r="L26" i="2" s="1"/>
  <c r="M38" i="2"/>
  <c r="M47" i="2"/>
  <c r="K36" i="2"/>
  <c r="L36" i="2" s="1"/>
  <c r="K48" i="2"/>
  <c r="L48" i="2" s="1"/>
  <c r="M22" i="2"/>
  <c r="M33" i="2"/>
  <c r="M21" i="2"/>
  <c r="M24" i="2"/>
  <c r="K46" i="2"/>
  <c r="L46" i="2" s="1"/>
  <c r="M52" i="2"/>
  <c r="M40" i="2"/>
  <c r="K22" i="2"/>
  <c r="L22" i="2" s="1"/>
  <c r="K28" i="2"/>
  <c r="L28" i="2" s="1"/>
  <c r="K40" i="2"/>
  <c r="L40" i="2" s="1"/>
  <c r="K49" i="2"/>
  <c r="L49" i="2" s="1"/>
  <c r="M39" i="2"/>
  <c r="K51" i="2"/>
  <c r="L51" i="2" s="1"/>
  <c r="K47" i="2"/>
  <c r="L47" i="2" s="1"/>
  <c r="K42" i="2"/>
  <c r="L42" i="2" s="1"/>
  <c r="K21" i="2"/>
  <c r="L21" i="2" s="1"/>
  <c r="M51" i="2"/>
  <c r="K39" i="2"/>
  <c r="L39" i="2" s="1"/>
  <c r="K52" i="2"/>
  <c r="L52" i="2" s="1"/>
  <c r="M28" i="2"/>
  <c r="M15" i="2"/>
  <c r="K38" i="2"/>
  <c r="L38" i="2" s="1"/>
  <c r="M20" i="2"/>
  <c r="M36" i="2"/>
  <c r="M34" i="2"/>
  <c r="M43" i="2"/>
  <c r="M26" i="2"/>
  <c r="M25" i="2"/>
  <c r="M30" i="2"/>
  <c r="M44" i="2"/>
  <c r="M18" i="2"/>
  <c r="M14" i="2"/>
  <c r="K16" i="2"/>
  <c r="L16" i="2" s="1"/>
  <c r="K17" i="2"/>
  <c r="L17" i="2" s="1"/>
  <c r="M32" i="2"/>
  <c r="K13" i="2"/>
  <c r="L13" i="2" s="1"/>
  <c r="M17" i="2"/>
  <c r="K31" i="2"/>
  <c r="L31" i="2" s="1"/>
  <c r="M42" i="2"/>
  <c r="M13" i="2"/>
  <c r="K34" i="2"/>
  <c r="L34" i="2" s="1"/>
  <c r="K30" i="2"/>
  <c r="L30" i="2" s="1"/>
  <c r="M31" i="2"/>
  <c r="K44" i="2"/>
  <c r="L44" i="2" s="1"/>
  <c r="K15" i="2"/>
  <c r="L15" i="2" s="1"/>
  <c r="M16" i="2"/>
  <c r="K18" i="2"/>
  <c r="K33" i="2"/>
  <c r="L33" i="2" s="1"/>
  <c r="O13" i="2"/>
  <c r="P20" i="2"/>
  <c r="Q20" i="2"/>
  <c r="O24" i="2"/>
  <c r="R20" i="2"/>
  <c r="O46" i="2"/>
  <c r="O51" i="2"/>
  <c r="O42" i="2"/>
  <c r="P51" i="2"/>
  <c r="Q38" i="2"/>
  <c r="R13" i="2"/>
  <c r="P13" i="2"/>
  <c r="P46" i="2"/>
  <c r="S13" i="2"/>
  <c r="P42" i="2"/>
  <c r="V13" i="2"/>
  <c r="R24" i="2"/>
  <c r="R38" i="2"/>
  <c r="P36" i="2"/>
  <c r="Q46" i="2"/>
  <c r="O20" i="2"/>
  <c r="P30" i="2"/>
  <c r="R30" i="2"/>
  <c r="Q30" i="2"/>
  <c r="Q42" i="2"/>
  <c r="Q51" i="2"/>
  <c r="R51" i="2"/>
  <c r="R46" i="2"/>
  <c r="O38" i="2"/>
  <c r="U13" i="2"/>
  <c r="P24" i="2"/>
  <c r="R42" i="2"/>
  <c r="O30" i="2"/>
  <c r="T13" i="2"/>
  <c r="Q24" i="2"/>
  <c r="P38" i="2"/>
  <c r="Q13" i="2"/>
  <c r="L18" i="2" l="1"/>
  <c r="Z20" i="2"/>
  <c r="C27" i="1" s="1"/>
  <c r="Z51" i="2"/>
  <c r="C34" i="1" s="1"/>
  <c r="Z46" i="2"/>
  <c r="C33" i="1" s="1"/>
  <c r="Z42" i="2"/>
  <c r="C32" i="1" s="1"/>
  <c r="Z38" i="2"/>
  <c r="C31" i="1" s="1"/>
  <c r="Z13" i="2"/>
  <c r="C26" i="1" s="1"/>
  <c r="Z36" i="2"/>
  <c r="C30" i="1" s="1"/>
  <c r="Z30" i="2"/>
  <c r="C29" i="1" s="1"/>
  <c r="Z24" i="2"/>
  <c r="C28" i="1" s="1"/>
  <c r="W42" i="2"/>
  <c r="X42" i="2"/>
  <c r="W13" i="2"/>
  <c r="X13" i="2"/>
  <c r="W38" i="2"/>
  <c r="X38" i="2"/>
  <c r="W51" i="2"/>
  <c r="X51" i="2"/>
  <c r="W24" i="2"/>
  <c r="AA24" i="2" s="1" a="1"/>
  <c r="AA24" i="2" s="1"/>
  <c r="D28" i="1" s="1"/>
  <c r="X24" i="2"/>
  <c r="AB24" i="2" s="1" a="1"/>
  <c r="AB24" i="2" s="1"/>
  <c r="E28" i="1" s="1"/>
  <c r="W30" i="2"/>
  <c r="X30" i="2"/>
  <c r="W36" i="2"/>
  <c r="X36" i="2"/>
  <c r="AB36" i="2" s="1" a="1"/>
  <c r="AB36" i="2" s="1"/>
  <c r="X46" i="2"/>
  <c r="AB46" i="2" s="1" a="1"/>
  <c r="AB46" i="2" s="1"/>
  <c r="E33" i="1" s="1"/>
  <c r="W46" i="2"/>
  <c r="AA46" i="2" s="1" a="1"/>
  <c r="AA46" i="2" s="1"/>
  <c r="D33" i="1" s="1"/>
  <c r="X20" i="2"/>
  <c r="W20" i="2"/>
  <c r="AB13" i="2" l="1" a="1"/>
  <c r="AB13" i="2" s="1"/>
  <c r="E26" i="1" s="1"/>
  <c r="AA30" i="2" a="1"/>
  <c r="AA30" i="2" s="1"/>
  <c r="D29" i="1" s="1"/>
  <c r="AB38" i="2" a="1"/>
  <c r="AB38" i="2" s="1"/>
  <c r="E31" i="1" s="1"/>
  <c r="AA38" i="2" a="1"/>
  <c r="AA38" i="2" s="1"/>
  <c r="AB30" i="2" a="1"/>
  <c r="AB30" i="2" s="1"/>
  <c r="E29" i="1" s="1"/>
  <c r="AA13" i="2" a="1"/>
  <c r="AA13" i="2" s="1"/>
  <c r="D26" i="1" s="1"/>
  <c r="AA20" i="2" a="1"/>
  <c r="AA20" i="2" s="1"/>
  <c r="AB42" i="2" a="1"/>
  <c r="AB42" i="2" s="1"/>
  <c r="E32" i="1" s="1"/>
  <c r="AB20" i="2" a="1"/>
  <c r="AB20" i="2" s="1"/>
  <c r="E27" i="1" s="1"/>
  <c r="AA42" i="2" a="1"/>
  <c r="AA42" i="2" s="1"/>
  <c r="D32" i="1" s="1"/>
  <c r="AB51" i="2" a="1"/>
  <c r="AB51" i="2" s="1"/>
  <c r="E34" i="1" s="1"/>
  <c r="AA51" i="2" a="1"/>
  <c r="AA51" i="2" s="1"/>
  <c r="AA36" i="2" a="1"/>
  <c r="AA36" i="2" s="1"/>
  <c r="D30" i="1" s="1"/>
  <c r="E30" i="1"/>
  <c r="AC46" i="2"/>
  <c r="F33" i="1" s="1"/>
  <c r="AC24" i="2"/>
  <c r="F28" i="1" s="1"/>
  <c r="AC30" i="2" l="1"/>
  <c r="F29" i="1" s="1"/>
  <c r="V9" i="1" s="1"/>
  <c r="AC51" i="2"/>
  <c r="F34" i="1" s="1"/>
  <c r="AA12" i="1" s="1"/>
  <c r="AC13" i="2"/>
  <c r="F26" i="1" s="1"/>
  <c r="S10" i="1" s="1"/>
  <c r="AC20" i="2"/>
  <c r="F27" i="1" s="1"/>
  <c r="T11" i="1" s="1"/>
  <c r="AC42" i="2"/>
  <c r="F32" i="1" s="1"/>
  <c r="Y17" i="1" s="1"/>
  <c r="AC38" i="2"/>
  <c r="F31" i="1" s="1"/>
  <c r="X18" i="1" s="1"/>
  <c r="D34" i="1"/>
  <c r="D31" i="1"/>
  <c r="D27" i="1"/>
  <c r="AC36" i="2"/>
  <c r="U19" i="1"/>
  <c r="U16" i="1"/>
  <c r="U18" i="1"/>
  <c r="Z18" i="1"/>
  <c r="Z13" i="1"/>
  <c r="Z11" i="1"/>
  <c r="Z16" i="1"/>
  <c r="Z12" i="1"/>
  <c r="Z9" i="1"/>
  <c r="Z17" i="1"/>
  <c r="Z14" i="1"/>
  <c r="Z15" i="1"/>
  <c r="Z19" i="1"/>
  <c r="Z10" i="1"/>
  <c r="V11" i="1" l="1"/>
  <c r="V12" i="1"/>
  <c r="AA13" i="1"/>
  <c r="AA19" i="1"/>
  <c r="AA11" i="1"/>
  <c r="AA17" i="1"/>
  <c r="AA14" i="1"/>
  <c r="AA15" i="1"/>
  <c r="AA9" i="1"/>
  <c r="AA18" i="1"/>
  <c r="AB18" i="1" s="1"/>
  <c r="AC18" i="1" s="1"/>
  <c r="T15" i="1"/>
  <c r="S9" i="1"/>
  <c r="T10" i="1"/>
  <c r="AB10" i="1" s="1"/>
  <c r="AC10" i="1" s="1"/>
  <c r="Y14" i="1"/>
  <c r="Y19" i="1"/>
  <c r="X15" i="1"/>
  <c r="X17" i="1"/>
  <c r="X13" i="1"/>
  <c r="T16" i="1"/>
  <c r="AB16" i="1" s="1"/>
  <c r="AC16" i="1" s="1"/>
  <c r="F30" i="1"/>
  <c r="W13" i="1" s="1"/>
  <c r="P27" i="1" l="1"/>
  <c r="AF30" i="1"/>
  <c r="AF29" i="1"/>
  <c r="P33" i="1"/>
  <c r="AF47" i="1"/>
  <c r="AF48" i="1"/>
  <c r="AB19" i="1"/>
  <c r="AC19" i="1" s="1"/>
  <c r="M1332" i="1" s="1"/>
  <c r="AB17" i="1"/>
  <c r="AC17" i="1" s="1"/>
  <c r="K1247" i="1" s="1"/>
  <c r="AB11" i="1"/>
  <c r="AC11" i="1" s="1"/>
  <c r="P28" i="1" s="1"/>
  <c r="AB9" i="1"/>
  <c r="AC9" i="1" s="1"/>
  <c r="AG26" i="1" s="1"/>
  <c r="AB15" i="1"/>
  <c r="AC15" i="1" s="1"/>
  <c r="P32" i="1" s="1"/>
  <c r="AB13" i="1"/>
  <c r="AC13" i="1" s="1"/>
  <c r="W12" i="1"/>
  <c r="AB12" i="1" s="1"/>
  <c r="AC12" i="1" s="1"/>
  <c r="AG35" i="1" s="1"/>
  <c r="W14" i="1"/>
  <c r="AB14" i="1" s="1"/>
  <c r="AC14" i="1" s="1"/>
  <c r="AF42" i="1" s="1"/>
  <c r="J1324" i="1"/>
  <c r="J1174" i="1"/>
  <c r="J1367" i="1"/>
  <c r="J1338" i="1"/>
  <c r="J1180" i="1"/>
  <c r="J1284" i="1"/>
  <c r="J1393" i="1"/>
  <c r="J1276" i="1"/>
  <c r="J1312" i="1"/>
  <c r="J1298" i="1"/>
  <c r="J1147" i="1"/>
  <c r="J1406" i="1"/>
  <c r="J1264" i="1"/>
  <c r="J1229" i="1"/>
  <c r="J1388" i="1"/>
  <c r="J1268" i="1"/>
  <c r="J1274" i="1"/>
  <c r="J1383" i="1"/>
  <c r="J1340" i="1"/>
  <c r="J1232" i="1"/>
  <c r="J1286" i="1"/>
  <c r="J1318" i="1"/>
  <c r="J1347" i="1"/>
  <c r="J1415" i="1"/>
  <c r="J1430" i="1"/>
  <c r="J1158" i="1"/>
  <c r="J1435" i="1"/>
  <c r="J1235" i="1"/>
  <c r="J1331" i="1"/>
  <c r="J1152" i="1"/>
  <c r="J1299" i="1"/>
  <c r="J1200" i="1"/>
  <c r="J1425" i="1"/>
  <c r="J1380" i="1"/>
  <c r="J1164" i="1"/>
  <c r="J1328" i="1"/>
  <c r="J1160" i="1"/>
  <c r="J1270" i="1"/>
  <c r="J1290" i="1"/>
  <c r="J1285" i="1"/>
  <c r="J1391" i="1"/>
  <c r="J1262" i="1"/>
  <c r="J1417" i="1"/>
  <c r="J1159" i="1"/>
  <c r="J1359" i="1"/>
  <c r="J1327" i="1"/>
  <c r="J1292" i="1"/>
  <c r="J1432" i="1"/>
  <c r="J1184" i="1"/>
  <c r="J1183" i="1"/>
  <c r="J1303" i="1"/>
  <c r="J1225" i="1"/>
  <c r="J1198" i="1"/>
  <c r="J1360" i="1"/>
  <c r="J1275" i="1"/>
  <c r="J1363" i="1"/>
  <c r="J1369" i="1"/>
  <c r="J1412" i="1"/>
  <c r="J1181" i="1"/>
  <c r="J1384" i="1"/>
  <c r="J1266" i="1"/>
  <c r="J1253" i="1"/>
  <c r="J1424" i="1"/>
  <c r="J1314" i="1"/>
  <c r="J1280" i="1"/>
  <c r="J1439" i="1"/>
  <c r="J1427" i="1"/>
  <c r="J1281" i="1"/>
  <c r="J1167" i="1"/>
  <c r="J1337" i="1"/>
  <c r="J1295" i="1"/>
  <c r="J1396" i="1"/>
  <c r="J1387" i="1"/>
  <c r="J1212" i="1"/>
  <c r="J1172" i="1"/>
  <c r="J1394" i="1"/>
  <c r="J1271" i="1"/>
  <c r="J1339" i="1"/>
  <c r="J1289" i="1"/>
  <c r="J1366" i="1"/>
  <c r="J1265" i="1"/>
  <c r="J1444" i="1"/>
  <c r="J1405" i="1"/>
  <c r="J1252" i="1"/>
  <c r="J1272" i="1"/>
  <c r="J1288" i="1"/>
  <c r="J1223" i="1"/>
  <c r="J1305" i="1"/>
  <c r="J1250" i="1"/>
  <c r="J1304" i="1"/>
  <c r="J1438" i="1"/>
  <c r="J1204" i="1"/>
  <c r="J1370" i="1"/>
  <c r="J1199" i="1"/>
  <c r="J1239" i="1"/>
  <c r="J1168" i="1"/>
  <c r="J1230" i="1"/>
  <c r="J1385" i="1"/>
  <c r="J1187" i="1"/>
  <c r="J1429" i="1"/>
  <c r="J1368" i="1"/>
  <c r="J1437" i="1"/>
  <c r="J1441" i="1"/>
  <c r="J1428" i="1"/>
  <c r="J1326" i="1"/>
  <c r="J1373" i="1"/>
  <c r="J1302" i="1"/>
  <c r="J1202" i="1"/>
  <c r="J1402" i="1"/>
  <c r="J1354" i="1"/>
  <c r="J1291" i="1"/>
  <c r="J1189" i="1"/>
  <c r="J1398" i="1"/>
  <c r="J1182" i="1"/>
  <c r="J1423" i="1"/>
  <c r="J1407" i="1"/>
  <c r="J1433" i="1"/>
  <c r="J1210" i="1"/>
  <c r="J1163" i="1"/>
  <c r="J1211" i="1"/>
  <c r="J1381" i="1"/>
  <c r="J1293" i="1"/>
  <c r="J1416" i="1"/>
  <c r="J1153" i="1"/>
  <c r="J1145" i="1"/>
  <c r="J1205" i="1"/>
  <c r="J1386" i="1"/>
  <c r="J1215" i="1"/>
  <c r="J1316" i="1"/>
  <c r="J1193" i="1"/>
  <c r="J1258" i="1"/>
  <c r="J1237" i="1"/>
  <c r="J1443" i="1"/>
  <c r="J1355" i="1"/>
  <c r="J1257" i="1"/>
  <c r="J1365" i="1"/>
  <c r="J1259" i="1"/>
  <c r="J1236" i="1"/>
  <c r="J1332" i="1"/>
  <c r="J1351" i="1"/>
  <c r="J1240" i="1"/>
  <c r="J1357" i="1"/>
  <c r="J1244" i="1"/>
  <c r="J1409" i="1"/>
  <c r="J1227" i="1"/>
  <c r="J1278" i="1"/>
  <c r="J1194" i="1"/>
  <c r="J1273" i="1"/>
  <c r="J1209" i="1"/>
  <c r="J1390" i="1"/>
  <c r="J1248" i="1"/>
  <c r="J1377" i="1"/>
  <c r="J1263" i="1"/>
  <c r="J1279" i="1"/>
  <c r="J1161" i="1"/>
  <c r="J1349" i="1"/>
  <c r="J1231" i="1"/>
  <c r="J1296" i="1"/>
  <c r="J1410" i="1"/>
  <c r="J1201" i="1"/>
  <c r="J1403" i="1"/>
  <c r="J1157" i="1"/>
  <c r="J1251" i="1"/>
  <c r="J1419" i="1"/>
  <c r="J1389" i="1"/>
  <c r="J1330" i="1"/>
  <c r="J1165" i="1"/>
  <c r="J1233" i="1"/>
  <c r="J1155" i="1"/>
  <c r="J1218" i="1"/>
  <c r="J1162" i="1"/>
  <c r="J1177" i="1"/>
  <c r="J1206" i="1"/>
  <c r="J1341" i="1"/>
  <c r="J1345" i="1"/>
  <c r="J1283" i="1"/>
  <c r="J1221" i="1"/>
  <c r="J1247" i="1"/>
  <c r="J1287" i="1"/>
  <c r="J1217" i="1"/>
  <c r="J1306" i="1"/>
  <c r="J1282" i="1"/>
  <c r="J1382" i="1"/>
  <c r="J1309" i="1"/>
  <c r="J1254" i="1"/>
  <c r="J1260" i="1"/>
  <c r="J1342" i="1"/>
  <c r="J1269" i="1"/>
  <c r="J1171" i="1"/>
  <c r="J1178" i="1"/>
  <c r="J1151" i="1"/>
  <c r="J1422" i="1"/>
  <c r="J1219" i="1"/>
  <c r="J1374" i="1"/>
  <c r="J1418" i="1"/>
  <c r="J1400" i="1"/>
  <c r="J1149" i="1"/>
  <c r="J1195" i="1"/>
  <c r="J1310" i="1"/>
  <c r="J1322" i="1"/>
  <c r="J1414" i="1"/>
  <c r="J1308" i="1"/>
  <c r="J1431" i="1"/>
  <c r="J1301" i="1"/>
  <c r="J1315" i="1"/>
  <c r="J1222" i="1"/>
  <c r="J1166" i="1"/>
  <c r="J1376" i="1"/>
  <c r="J1190" i="1"/>
  <c r="J1192" i="1"/>
  <c r="J1372" i="1"/>
  <c r="J1216" i="1"/>
  <c r="J1208" i="1"/>
  <c r="J1185" i="1"/>
  <c r="J1243" i="1"/>
  <c r="J1191" i="1"/>
  <c r="J1256" i="1"/>
  <c r="J1321" i="1"/>
  <c r="J1175" i="1"/>
  <c r="J1319" i="1"/>
  <c r="J1420" i="1"/>
  <c r="J1358" i="1"/>
  <c r="J1214" i="1"/>
  <c r="J1350" i="1"/>
  <c r="J1348" i="1"/>
  <c r="J1294" i="1"/>
  <c r="J1440" i="1"/>
  <c r="J1267" i="1"/>
  <c r="J1156" i="1"/>
  <c r="J1434" i="1"/>
  <c r="J1352" i="1"/>
  <c r="J1323" i="1"/>
  <c r="J1313" i="1"/>
  <c r="J1207" i="1"/>
  <c r="J1401" i="1"/>
  <c r="J1378" i="1"/>
  <c r="J1335" i="1"/>
  <c r="J1411" i="1"/>
  <c r="J1379" i="1"/>
  <c r="J1261" i="1"/>
  <c r="J1364" i="1"/>
  <c r="J1234" i="1"/>
  <c r="J1344" i="1"/>
  <c r="J1255" i="1"/>
  <c r="J1333" i="1"/>
  <c r="J1154" i="1"/>
  <c r="J1242" i="1"/>
  <c r="J1188" i="1"/>
  <c r="J1375" i="1"/>
  <c r="J1362" i="1"/>
  <c r="J1203" i="1"/>
  <c r="J1146" i="1"/>
  <c r="J1307" i="1"/>
  <c r="J1277" i="1"/>
  <c r="J1320" i="1"/>
  <c r="J1317" i="1"/>
  <c r="J1148" i="1"/>
  <c r="J1176" i="1"/>
  <c r="J1404" i="1"/>
  <c r="J1245" i="1"/>
  <c r="J1173" i="1"/>
  <c r="J1249" i="1"/>
  <c r="J1356" i="1"/>
  <c r="J1224" i="1"/>
  <c r="J1325" i="1"/>
  <c r="J1238" i="1"/>
  <c r="J1346" i="1"/>
  <c r="J1408" i="1"/>
  <c r="J1426" i="1"/>
  <c r="J1421" i="1"/>
  <c r="J1220" i="1"/>
  <c r="J1361" i="1"/>
  <c r="J1371" i="1"/>
  <c r="J1311" i="1"/>
  <c r="J1150" i="1"/>
  <c r="J1442" i="1"/>
  <c r="J1186" i="1"/>
  <c r="J1395" i="1"/>
  <c r="J1329" i="1"/>
  <c r="J1179" i="1"/>
  <c r="J1213" i="1"/>
  <c r="J1169" i="1"/>
  <c r="J1413" i="1"/>
  <c r="J1197" i="1"/>
  <c r="J1343" i="1"/>
  <c r="J1336" i="1"/>
  <c r="J1353" i="1"/>
  <c r="J1196" i="1"/>
  <c r="J1334" i="1"/>
  <c r="J1300" i="1"/>
  <c r="J1241" i="1"/>
  <c r="J1399" i="1"/>
  <c r="J1436" i="1"/>
  <c r="J1297" i="1"/>
  <c r="J1226" i="1"/>
  <c r="J1228" i="1"/>
  <c r="J1246" i="1"/>
  <c r="J1397" i="1"/>
  <c r="J1170" i="1"/>
  <c r="J1392" i="1"/>
  <c r="L1192" i="1"/>
  <c r="L1389" i="1"/>
  <c r="L1172" i="1"/>
  <c r="L1272" i="1"/>
  <c r="L1160" i="1"/>
  <c r="L1193" i="1"/>
  <c r="L1331" i="1"/>
  <c r="L1421" i="1"/>
  <c r="L1385" i="1"/>
  <c r="L1151" i="1"/>
  <c r="L1429" i="1"/>
  <c r="L1249" i="1"/>
  <c r="L1403" i="1"/>
  <c r="L1279" i="1"/>
  <c r="L1187" i="1"/>
  <c r="L1371" i="1"/>
  <c r="L1293" i="1"/>
  <c r="L1415" i="1"/>
  <c r="L1375" i="1"/>
  <c r="L1436" i="1"/>
  <c r="L1280" i="1"/>
  <c r="L1277" i="1"/>
  <c r="L1341" i="1"/>
  <c r="L1425" i="1"/>
  <c r="L1244" i="1"/>
  <c r="L1161" i="1"/>
  <c r="L1365" i="1"/>
  <c r="L1361" i="1"/>
  <c r="L1430" i="1"/>
  <c r="L1338" i="1"/>
  <c r="L1318" i="1"/>
  <c r="L1190" i="1"/>
  <c r="L1214" i="1"/>
  <c r="L1383" i="1"/>
  <c r="L1314" i="1"/>
  <c r="L1147" i="1"/>
  <c r="L1348" i="1"/>
  <c r="L1260" i="1"/>
  <c r="L1266" i="1"/>
  <c r="L1342" i="1"/>
  <c r="L1354" i="1"/>
  <c r="L1205" i="1"/>
  <c r="L1228" i="1"/>
  <c r="L1215" i="1"/>
  <c r="L1195" i="1"/>
  <c r="L1347" i="1"/>
  <c r="L1434" i="1"/>
  <c r="L1274" i="1"/>
  <c r="L1291" i="1"/>
  <c r="L1231" i="1"/>
  <c r="L1197" i="1"/>
  <c r="L1163" i="1"/>
  <c r="L1264" i="1"/>
  <c r="L1157" i="1"/>
  <c r="L1188" i="1"/>
  <c r="L1353" i="1"/>
  <c r="L1426" i="1"/>
  <c r="L1176" i="1"/>
  <c r="L1357" i="1"/>
  <c r="L1346" i="1"/>
  <c r="L1295" i="1"/>
  <c r="L1250" i="1"/>
  <c r="L1156" i="1"/>
  <c r="L1247" i="1"/>
  <c r="L1414" i="1"/>
  <c r="L1368" i="1"/>
  <c r="L1169" i="1"/>
  <c r="L1351" i="1"/>
  <c r="L1335" i="1"/>
  <c r="L1165" i="1"/>
  <c r="L1336" i="1"/>
  <c r="L1359" i="1"/>
  <c r="L1236" i="1"/>
  <c r="L1376" i="1"/>
  <c r="L1298" i="1"/>
  <c r="L1148" i="1"/>
  <c r="L1164" i="1"/>
  <c r="L1185" i="1"/>
  <c r="L1184" i="1"/>
  <c r="L1174" i="1"/>
  <c r="L1207" i="1"/>
  <c r="L1180" i="1"/>
  <c r="L1370" i="1"/>
  <c r="L1391" i="1"/>
  <c r="L1170" i="1"/>
  <c r="L1201" i="1"/>
  <c r="L1364" i="1"/>
  <c r="L1435" i="1"/>
  <c r="L1239" i="1"/>
  <c r="L1309" i="1"/>
  <c r="L1181" i="1"/>
  <c r="L1173" i="1"/>
  <c r="L1226" i="1"/>
  <c r="L1271" i="1"/>
  <c r="L1360" i="1"/>
  <c r="L1321" i="1"/>
  <c r="L1407" i="1"/>
  <c r="L1150" i="1"/>
  <c r="L1419" i="1"/>
  <c r="L1397" i="1"/>
  <c r="L1387" i="1"/>
  <c r="L1386" i="1"/>
  <c r="L1155" i="1"/>
  <c r="L1285" i="1"/>
  <c r="L1326" i="1"/>
  <c r="L1278" i="1"/>
  <c r="L1307" i="1"/>
  <c r="L1345" i="1"/>
  <c r="L1223" i="1"/>
  <c r="L1366" i="1"/>
  <c r="L1225" i="1"/>
  <c r="L1255" i="1"/>
  <c r="L1253" i="1"/>
  <c r="L1330" i="1"/>
  <c r="L1289" i="1"/>
  <c r="L1388" i="1"/>
  <c r="L1222" i="1"/>
  <c r="L1178" i="1"/>
  <c r="L1234" i="1"/>
  <c r="L1324" i="1"/>
  <c r="L1294" i="1"/>
  <c r="L1240" i="1"/>
  <c r="L1356" i="1"/>
  <c r="L1340" i="1"/>
  <c r="L1377" i="1"/>
  <c r="L1444" i="1"/>
  <c r="L1413" i="1"/>
  <c r="L1325" i="1"/>
  <c r="L1232" i="1"/>
  <c r="L1245" i="1"/>
  <c r="L1333" i="1"/>
  <c r="L1146" i="1"/>
  <c r="L1433" i="1"/>
  <c r="L1401" i="1"/>
  <c r="L1350" i="1"/>
  <c r="L1233" i="1"/>
  <c r="L1149" i="1"/>
  <c r="L1209" i="1"/>
  <c r="L1166" i="1"/>
  <c r="L1261" i="1"/>
  <c r="L1258" i="1"/>
  <c r="L1243" i="1"/>
  <c r="L1246" i="1"/>
  <c r="L1182" i="1"/>
  <c r="L1265" i="1"/>
  <c r="L1212" i="1"/>
  <c r="L1416" i="1"/>
  <c r="L1417" i="1"/>
  <c r="L1175" i="1"/>
  <c r="L1177" i="1"/>
  <c r="L1438" i="1"/>
  <c r="L1420" i="1"/>
  <c r="L1319" i="1"/>
  <c r="L1263" i="1"/>
  <c r="L1259" i="1"/>
  <c r="L1343" i="1"/>
  <c r="L1273" i="1"/>
  <c r="L1191" i="1"/>
  <c r="L1206" i="1"/>
  <c r="L1287" i="1"/>
  <c r="L1219" i="1"/>
  <c r="L1352" i="1"/>
  <c r="L1227" i="1"/>
  <c r="L1297" i="1"/>
  <c r="L1203" i="1"/>
  <c r="L1412" i="1"/>
  <c r="L1442" i="1"/>
  <c r="L1153" i="1"/>
  <c r="L1372" i="1"/>
  <c r="L1186" i="1"/>
  <c r="L1399" i="1"/>
  <c r="L1432" i="1"/>
  <c r="L1282" i="1"/>
  <c r="L1316" i="1"/>
  <c r="L1315" i="1"/>
  <c r="L1224" i="1"/>
  <c r="L1179" i="1"/>
  <c r="L1145" i="1"/>
  <c r="L1317" i="1"/>
  <c r="L1158" i="1"/>
  <c r="L1418" i="1"/>
  <c r="L1204" i="1"/>
  <c r="L1199" i="1"/>
  <c r="L1242" i="1"/>
  <c r="L1423" i="1"/>
  <c r="L1256" i="1"/>
  <c r="L1305" i="1"/>
  <c r="L1313" i="1"/>
  <c r="L1378" i="1"/>
  <c r="L1381" i="1"/>
  <c r="L1310" i="1"/>
  <c r="L1254" i="1"/>
  <c r="L1411" i="1"/>
  <c r="L1308" i="1"/>
  <c r="L1276" i="1"/>
  <c r="L1210" i="1"/>
  <c r="L1159" i="1"/>
  <c r="L1296" i="1"/>
  <c r="L1409" i="1"/>
  <c r="L1270" i="1"/>
  <c r="L1267" i="1"/>
  <c r="L1349" i="1"/>
  <c r="L1394" i="1"/>
  <c r="L1208" i="1"/>
  <c r="L1311" i="1"/>
  <c r="L1312" i="1"/>
  <c r="L1427" i="1"/>
  <c r="L1290" i="1"/>
  <c r="L1303" i="1"/>
  <c r="L1196" i="1"/>
  <c r="L1268" i="1"/>
  <c r="L1292" i="1"/>
  <c r="L1300" i="1"/>
  <c r="L1283" i="1"/>
  <c r="L1216" i="1"/>
  <c r="L1443" i="1"/>
  <c r="L1217" i="1"/>
  <c r="L1302" i="1"/>
  <c r="L1439" i="1"/>
  <c r="L1262" i="1"/>
  <c r="L1237" i="1"/>
  <c r="L1288" i="1"/>
  <c r="L1218" i="1"/>
  <c r="L1328" i="1"/>
  <c r="L1171" i="1"/>
  <c r="L1373" i="1"/>
  <c r="L1395" i="1"/>
  <c r="L1252" i="1"/>
  <c r="L1284" i="1"/>
  <c r="L1369" i="1"/>
  <c r="L1344" i="1"/>
  <c r="L1382" i="1"/>
  <c r="L1424" i="1"/>
  <c r="L1396" i="1"/>
  <c r="L1211" i="1"/>
  <c r="L1332" i="1"/>
  <c r="L1281" i="1"/>
  <c r="L1198" i="1"/>
  <c r="L1301" i="1"/>
  <c r="L1275" i="1"/>
  <c r="L1229" i="1"/>
  <c r="L1400" i="1"/>
  <c r="L1194" i="1"/>
  <c r="L1440" i="1"/>
  <c r="L1162" i="1"/>
  <c r="L1405" i="1"/>
  <c r="L1398" i="1"/>
  <c r="L1238" i="1"/>
  <c r="L1334" i="1"/>
  <c r="L1183" i="1"/>
  <c r="L1241" i="1"/>
  <c r="L1257" i="1"/>
  <c r="L1154" i="1"/>
  <c r="L1167" i="1"/>
  <c r="L1152" i="1"/>
  <c r="L1404" i="1"/>
  <c r="L1320" i="1"/>
  <c r="L1337" i="1"/>
  <c r="L1269" i="1"/>
  <c r="L1323" i="1"/>
  <c r="L1363" i="1"/>
  <c r="L1220" i="1"/>
  <c r="L1202" i="1"/>
  <c r="L1213" i="1"/>
  <c r="L1428" i="1"/>
  <c r="L1390" i="1"/>
  <c r="L1306" i="1"/>
  <c r="L1384" i="1"/>
  <c r="L1355" i="1"/>
  <c r="L1339" i="1"/>
  <c r="L1286" i="1"/>
  <c r="L1392" i="1"/>
  <c r="L1304" i="1"/>
  <c r="L1379" i="1"/>
  <c r="L1380" i="1"/>
  <c r="L1200" i="1"/>
  <c r="L1322" i="1"/>
  <c r="L1422" i="1"/>
  <c r="L1230" i="1"/>
  <c r="L1441" i="1"/>
  <c r="L1221" i="1"/>
  <c r="L1329" i="1"/>
  <c r="L1299" i="1"/>
  <c r="L1408" i="1"/>
  <c r="L1189" i="1"/>
  <c r="L1168" i="1"/>
  <c r="L1437" i="1"/>
  <c r="L1248" i="1"/>
  <c r="L1367" i="1"/>
  <c r="L1235" i="1"/>
  <c r="L1251" i="1"/>
  <c r="L1327" i="1"/>
  <c r="L1358" i="1"/>
  <c r="L1431" i="1"/>
  <c r="L1402" i="1"/>
  <c r="L1406" i="1"/>
  <c r="L1374" i="1"/>
  <c r="L1362" i="1"/>
  <c r="L1410" i="1"/>
  <c r="L1393" i="1"/>
  <c r="M1184" i="1"/>
  <c r="M1293" i="1"/>
  <c r="M1171" i="1" l="1"/>
  <c r="M1352" i="1"/>
  <c r="M1301" i="1"/>
  <c r="M1315" i="1"/>
  <c r="M1246" i="1"/>
  <c r="M1347" i="1"/>
  <c r="M1434" i="1"/>
  <c r="M1179" i="1"/>
  <c r="M1264" i="1"/>
  <c r="M1226" i="1"/>
  <c r="K1183" i="1"/>
  <c r="M1432" i="1"/>
  <c r="K1384" i="1"/>
  <c r="M1386" i="1"/>
  <c r="M1395" i="1"/>
  <c r="M1353" i="1"/>
  <c r="M1327" i="1"/>
  <c r="M1319" i="1"/>
  <c r="M1325" i="1"/>
  <c r="M1248" i="1"/>
  <c r="M1275" i="1"/>
  <c r="M1444" i="1"/>
  <c r="M1401" i="1"/>
  <c r="M1220" i="1"/>
  <c r="M1344" i="1"/>
  <c r="M1198" i="1"/>
  <c r="M1329" i="1"/>
  <c r="M1295" i="1"/>
  <c r="M1195" i="1"/>
  <c r="M1247" i="1"/>
  <c r="M1439" i="1"/>
  <c r="M1215" i="1"/>
  <c r="M1308" i="1"/>
  <c r="M1378" i="1"/>
  <c r="M1189" i="1"/>
  <c r="M1320" i="1"/>
  <c r="M1263" i="1"/>
  <c r="M1403" i="1"/>
  <c r="M1253" i="1"/>
  <c r="M1278" i="1"/>
  <c r="M1361" i="1"/>
  <c r="M1322" i="1"/>
  <c r="M1346" i="1"/>
  <c r="M1201" i="1"/>
  <c r="M1303" i="1"/>
  <c r="M1410" i="1"/>
  <c r="M1288" i="1"/>
  <c r="M1297" i="1"/>
  <c r="M1364" i="1"/>
  <c r="M1309" i="1"/>
  <c r="M1265" i="1"/>
  <c r="M1206" i="1"/>
  <c r="M1254" i="1"/>
  <c r="M1404" i="1"/>
  <c r="M1207" i="1"/>
  <c r="M1146" i="1"/>
  <c r="M1299" i="1"/>
  <c r="M1331" i="1"/>
  <c r="M1294" i="1"/>
  <c r="M1345" i="1"/>
  <c r="M1433" i="1"/>
  <c r="M1326" i="1"/>
  <c r="K1259" i="1"/>
  <c r="M1357" i="1"/>
  <c r="M1256" i="1"/>
  <c r="M1443" i="1"/>
  <c r="M1221" i="1"/>
  <c r="K1416" i="1"/>
  <c r="M1417" i="1"/>
  <c r="M1360" i="1"/>
  <c r="M1339" i="1"/>
  <c r="M1245" i="1"/>
  <c r="M1418" i="1"/>
  <c r="M1218" i="1"/>
  <c r="M1255" i="1"/>
  <c r="M1266" i="1"/>
  <c r="M1441" i="1"/>
  <c r="M1371" i="1"/>
  <c r="M1231" i="1"/>
  <c r="M1411" i="1"/>
  <c r="M1249" i="1"/>
  <c r="M1181" i="1"/>
  <c r="M1438" i="1"/>
  <c r="M1272" i="1"/>
  <c r="M1394" i="1"/>
  <c r="M1333" i="1"/>
  <c r="M1234" i="1"/>
  <c r="M1406" i="1"/>
  <c r="M1274" i="1"/>
  <c r="M1281" i="1"/>
  <c r="M1155" i="1"/>
  <c r="M1384" i="1"/>
  <c r="M1393" i="1"/>
  <c r="M1442" i="1"/>
  <c r="M1223" i="1"/>
  <c r="M1334" i="1"/>
  <c r="M1389" i="1"/>
  <c r="M1258" i="1"/>
  <c r="K1277" i="1"/>
  <c r="M1250" i="1"/>
  <c r="M1270" i="1"/>
  <c r="M1279" i="1"/>
  <c r="M1162" i="1"/>
  <c r="M1385" i="1"/>
  <c r="M1178" i="1"/>
  <c r="M1160" i="1"/>
  <c r="M1286" i="1"/>
  <c r="M1268" i="1"/>
  <c r="M1224" i="1"/>
  <c r="M1422" i="1"/>
  <c r="M1380" i="1"/>
  <c r="M1349" i="1"/>
  <c r="M1228" i="1"/>
  <c r="M1358" i="1"/>
  <c r="M1241" i="1"/>
  <c r="M1427" i="1"/>
  <c r="M1355" i="1"/>
  <c r="M1191" i="1"/>
  <c r="M1330" i="1"/>
  <c r="M1402" i="1"/>
  <c r="M1428" i="1"/>
  <c r="M1284" i="1"/>
  <c r="M1187" i="1"/>
  <c r="M1177" i="1"/>
  <c r="M1391" i="1"/>
  <c r="M1158" i="1"/>
  <c r="M1365" i="1"/>
  <c r="M1257" i="1"/>
  <c r="M1236" i="1"/>
  <c r="M1367" i="1"/>
  <c r="M1271" i="1"/>
  <c r="M1190" i="1"/>
  <c r="M1174" i="1"/>
  <c r="M1156" i="1"/>
  <c r="M1381" i="1"/>
  <c r="M1165" i="1"/>
  <c r="M1296" i="1"/>
  <c r="K1329" i="1"/>
  <c r="K1302" i="1"/>
  <c r="M1430" i="1"/>
  <c r="M1172" i="1"/>
  <c r="M1152" i="1"/>
  <c r="M1356" i="1"/>
  <c r="M1423" i="1"/>
  <c r="M1237" i="1"/>
  <c r="M1366" i="1"/>
  <c r="M1182" i="1"/>
  <c r="M1421" i="1"/>
  <c r="M1199" i="1"/>
  <c r="M1382" i="1"/>
  <c r="M1412" i="1"/>
  <c r="M1210" i="1"/>
  <c r="M1429" i="1"/>
  <c r="M1321" i="1"/>
  <c r="M1276" i="1"/>
  <c r="M1292" i="1"/>
  <c r="M1148" i="1"/>
  <c r="M1225" i="1"/>
  <c r="M1419" i="1"/>
  <c r="M1408" i="1"/>
  <c r="M1277" i="1"/>
  <c r="M1161" i="1"/>
  <c r="M1377" i="1"/>
  <c r="M1337" i="1"/>
  <c r="M1363" i="1"/>
  <c r="M1154" i="1"/>
  <c r="M1359" i="1"/>
  <c r="M1229" i="1"/>
  <c r="M1431" i="1"/>
  <c r="M1298" i="1"/>
  <c r="M1336" i="1"/>
  <c r="M1362" i="1"/>
  <c r="M1243" i="1"/>
  <c r="M1238" i="1"/>
  <c r="M1350" i="1"/>
  <c r="M1164" i="1"/>
  <c r="M1335" i="1"/>
  <c r="M1435" i="1"/>
  <c r="K1210" i="1"/>
  <c r="M1203" i="1"/>
  <c r="M1415" i="1"/>
  <c r="M1176" i="1"/>
  <c r="M1351" i="1"/>
  <c r="M1239" i="1"/>
  <c r="M1159" i="1"/>
  <c r="M1372" i="1"/>
  <c r="M1388" i="1"/>
  <c r="M1323" i="1"/>
  <c r="M1212" i="1"/>
  <c r="M1400" i="1"/>
  <c r="M1208" i="1"/>
  <c r="K1249" i="1"/>
  <c r="M1383" i="1"/>
  <c r="M1324" i="1"/>
  <c r="M1413" i="1"/>
  <c r="M1227" i="1"/>
  <c r="M1280" i="1"/>
  <c r="M1217" i="1"/>
  <c r="M1368" i="1"/>
  <c r="M1150" i="1"/>
  <c r="M1157" i="1"/>
  <c r="M1416" i="1"/>
  <c r="M1153" i="1"/>
  <c r="M1230" i="1"/>
  <c r="M1437" i="1"/>
  <c r="M1147" i="1"/>
  <c r="M1302" i="1"/>
  <c r="M1300" i="1"/>
  <c r="M1306" i="1"/>
  <c r="M1348" i="1"/>
  <c r="M1151" i="1"/>
  <c r="M1183" i="1"/>
  <c r="M1185" i="1"/>
  <c r="M1370" i="1"/>
  <c r="M1424" i="1"/>
  <c r="M1211" i="1"/>
  <c r="M1213" i="1"/>
  <c r="M1222" i="1"/>
  <c r="K1425" i="1"/>
  <c r="K1172" i="1"/>
  <c r="K1199" i="1"/>
  <c r="K1332" i="1"/>
  <c r="M1310" i="1"/>
  <c r="AG57" i="1"/>
  <c r="K1411" i="1"/>
  <c r="K1156" i="1"/>
  <c r="K1364" i="1"/>
  <c r="S32" i="1" a="1"/>
  <c r="K1269" i="1"/>
  <c r="K1149" i="1"/>
  <c r="K1372" i="1"/>
  <c r="K1272" i="1"/>
  <c r="K1195" i="1"/>
  <c r="K1201" i="1"/>
  <c r="P30" i="1"/>
  <c r="M1305" i="1"/>
  <c r="M1216" i="1"/>
  <c r="M1282" i="1"/>
  <c r="M1328" i="1"/>
  <c r="M1170" i="1"/>
  <c r="M1317" i="1"/>
  <c r="M1167" i="1"/>
  <c r="M1193" i="1"/>
  <c r="M1273" i="1"/>
  <c r="M1436" i="1"/>
  <c r="M1173" i="1"/>
  <c r="M1260" i="1"/>
  <c r="M1169" i="1"/>
  <c r="M1251" i="1"/>
  <c r="M1376" i="1"/>
  <c r="M1214" i="1"/>
  <c r="M1426" i="1"/>
  <c r="M1373" i="1"/>
  <c r="M1168" i="1"/>
  <c r="M1342" i="1"/>
  <c r="M1340" i="1"/>
  <c r="M1374" i="1"/>
  <c r="M1407" i="1"/>
  <c r="M1392" i="1"/>
  <c r="M1399" i="1"/>
  <c r="M1149" i="1"/>
  <c r="M1192" i="1"/>
  <c r="M1188" i="1"/>
  <c r="M1194" i="1"/>
  <c r="M1379" i="1"/>
  <c r="M1312" i="1"/>
  <c r="M1420" i="1"/>
  <c r="M1304" i="1"/>
  <c r="M1145" i="1"/>
  <c r="M1338" i="1"/>
  <c r="M1166" i="1"/>
  <c r="M1397" i="1"/>
  <c r="M1290" i="1"/>
  <c r="M1259" i="1"/>
  <c r="M1396" i="1"/>
  <c r="M1318" i="1"/>
  <c r="M1175" i="1"/>
  <c r="M1186" i="1"/>
  <c r="M1313" i="1"/>
  <c r="M1262" i="1"/>
  <c r="M1240" i="1"/>
  <c r="M1316" i="1"/>
  <c r="M1390" i="1"/>
  <c r="M1414" i="1"/>
  <c r="M1307" i="1"/>
  <c r="M1314" i="1"/>
  <c r="M1180" i="1"/>
  <c r="M1387" i="1"/>
  <c r="M1200" i="1"/>
  <c r="M1197" i="1"/>
  <c r="M1283" i="1"/>
  <c r="M1163" i="1"/>
  <c r="M1375" i="1"/>
  <c r="M1409" i="1"/>
  <c r="M1202" i="1"/>
  <c r="M1232" i="1"/>
  <c r="M1252" i="1"/>
  <c r="M1425" i="1"/>
  <c r="M1285" i="1"/>
  <c r="M1343" i="1"/>
  <c r="M1267" i="1"/>
  <c r="M1440" i="1"/>
  <c r="M1209" i="1"/>
  <c r="M1289" i="1"/>
  <c r="M1235" i="1"/>
  <c r="M1261" i="1"/>
  <c r="M1233" i="1"/>
  <c r="M1219" i="1"/>
  <c r="M1341" i="1"/>
  <c r="M1244" i="1"/>
  <c r="M1354" i="1"/>
  <c r="M1398" i="1"/>
  <c r="M1196" i="1"/>
  <c r="M1287" i="1"/>
  <c r="M1311" i="1"/>
  <c r="M1369" i="1"/>
  <c r="M1405" i="1"/>
  <c r="M1291" i="1"/>
  <c r="M1204" i="1"/>
  <c r="M1205" i="1"/>
  <c r="M1269" i="1"/>
  <c r="M1242" i="1"/>
  <c r="K1328" i="1"/>
  <c r="K1407" i="1"/>
  <c r="K1194" i="1"/>
  <c r="K1254" i="1"/>
  <c r="K1198" i="1"/>
  <c r="K1191" i="1"/>
  <c r="K1229" i="1"/>
  <c r="K1308" i="1"/>
  <c r="K1421" i="1"/>
  <c r="K1353" i="1"/>
  <c r="K1393" i="1"/>
  <c r="K1326" i="1"/>
  <c r="K1151" i="1"/>
  <c r="K1286" i="1"/>
  <c r="P26" i="1"/>
  <c r="S26" i="1" s="1" a="1"/>
  <c r="S27" i="1" s="1"/>
  <c r="AG30" i="1" s="1"/>
  <c r="K1280" i="1"/>
  <c r="P34" i="1"/>
  <c r="P35" i="1"/>
  <c r="P31" i="1"/>
  <c r="P29" i="1"/>
  <c r="S28" i="1" s="1" a="1"/>
  <c r="K1427" i="1"/>
  <c r="K1356" i="1"/>
  <c r="K1294" i="1"/>
  <c r="K1314" i="1"/>
  <c r="K1218" i="1"/>
  <c r="K1386" i="1"/>
  <c r="K1222" i="1"/>
  <c r="K1276" i="1"/>
  <c r="K1319" i="1"/>
  <c r="K1252" i="1"/>
  <c r="K1268" i="1"/>
  <c r="K1185" i="1"/>
  <c r="K1431" i="1"/>
  <c r="K1290" i="1"/>
  <c r="K1153" i="1"/>
  <c r="K1383" i="1"/>
  <c r="K1342" i="1"/>
  <c r="K1352" i="1"/>
  <c r="K1311" i="1"/>
  <c r="K1274" i="1"/>
  <c r="K1260" i="1"/>
  <c r="K1338" i="1"/>
  <c r="K1246" i="1"/>
  <c r="K1163" i="1"/>
  <c r="K1146" i="1"/>
  <c r="K1242" i="1"/>
  <c r="K1155" i="1"/>
  <c r="K1397" i="1"/>
  <c r="K1227" i="1"/>
  <c r="K1406" i="1"/>
  <c r="K1159" i="1"/>
  <c r="K1283" i="1"/>
  <c r="K1320" i="1"/>
  <c r="K1409" i="1"/>
  <c r="K1344" i="1"/>
  <c r="K1273" i="1"/>
  <c r="K1148" i="1"/>
  <c r="K1437" i="1"/>
  <c r="K1297" i="1"/>
  <c r="K1213" i="1"/>
  <c r="K1417" i="1"/>
  <c r="K1282" i="1"/>
  <c r="K1432" i="1"/>
  <c r="K1238" i="1"/>
  <c r="K1188" i="1"/>
  <c r="K1263" i="1"/>
  <c r="K1335" i="1"/>
  <c r="K1279" i="1"/>
  <c r="K1443" i="1"/>
  <c r="K1267" i="1"/>
  <c r="K1186" i="1"/>
  <c r="K1230" i="1"/>
  <c r="K1341" i="1"/>
  <c r="K1348" i="1"/>
  <c r="K1165" i="1"/>
  <c r="K1232" i="1"/>
  <c r="K1330" i="1"/>
  <c r="K1423" i="1"/>
  <c r="K1444" i="1"/>
  <c r="K1239" i="1"/>
  <c r="K1150" i="1"/>
  <c r="K1333" i="1"/>
  <c r="K1354" i="1"/>
  <c r="K1422" i="1"/>
  <c r="K1300" i="1"/>
  <c r="K1152" i="1"/>
  <c r="K1387" i="1"/>
  <c r="K1187" i="1"/>
  <c r="K1223" i="1"/>
  <c r="K1408" i="1"/>
  <c r="K1233" i="1"/>
  <c r="K1147" i="1"/>
  <c r="K1251" i="1"/>
  <c r="K1291" i="1"/>
  <c r="K1299" i="1"/>
  <c r="K1436" i="1"/>
  <c r="K1396" i="1"/>
  <c r="K1360" i="1"/>
  <c r="K1418" i="1"/>
  <c r="K1419" i="1"/>
  <c r="K1181" i="1"/>
  <c r="K1228" i="1"/>
  <c r="K1350" i="1"/>
  <c r="K1428" i="1"/>
  <c r="K1376" i="1"/>
  <c r="K1287" i="1"/>
  <c r="K1404" i="1"/>
  <c r="K1257" i="1"/>
  <c r="K1208" i="1"/>
  <c r="K1438" i="1"/>
  <c r="K1401" i="1"/>
  <c r="K1434" i="1"/>
  <c r="K1292" i="1"/>
  <c r="K1392" i="1"/>
  <c r="K1368" i="1"/>
  <c r="K1192" i="1"/>
  <c r="K1197" i="1"/>
  <c r="K1412" i="1"/>
  <c r="K1324" i="1"/>
  <c r="K1318" i="1"/>
  <c r="K1245" i="1"/>
  <c r="K1301" i="1"/>
  <c r="K1214" i="1"/>
  <c r="K1200" i="1"/>
  <c r="K1379" i="1"/>
  <c r="K1184" i="1"/>
  <c r="K1231" i="1"/>
  <c r="K1225" i="1"/>
  <c r="K1317" i="1"/>
  <c r="K1160" i="1"/>
  <c r="K1426" i="1"/>
  <c r="K1322" i="1"/>
  <c r="K1313" i="1"/>
  <c r="K1385" i="1"/>
  <c r="K1389" i="1"/>
  <c r="K1158" i="1"/>
  <c r="K1430" i="1"/>
  <c r="K1351" i="1"/>
  <c r="K1164" i="1"/>
  <c r="K1211" i="1"/>
  <c r="K1189" i="1"/>
  <c r="K1349" i="1"/>
  <c r="K1182" i="1"/>
  <c r="K1395" i="1"/>
  <c r="K1237" i="1"/>
  <c r="K1369" i="1"/>
  <c r="K1278" i="1"/>
  <c r="K1403" i="1"/>
  <c r="K1205" i="1"/>
  <c r="K1212" i="1"/>
  <c r="K1405" i="1"/>
  <c r="K1380" i="1"/>
  <c r="K1303" i="1"/>
  <c r="K1220" i="1"/>
  <c r="K1304" i="1"/>
  <c r="K1241" i="1"/>
  <c r="K1285" i="1"/>
  <c r="K1206" i="1"/>
  <c r="K1345" i="1"/>
  <c r="K1180" i="1"/>
  <c r="K1365" i="1"/>
  <c r="K1162" i="1"/>
  <c r="K1248" i="1"/>
  <c r="K1256" i="1"/>
  <c r="K1424" i="1"/>
  <c r="K1321" i="1"/>
  <c r="K1391" i="1"/>
  <c r="K1236" i="1"/>
  <c r="K1410" i="1"/>
  <c r="K1255" i="1"/>
  <c r="K1289" i="1"/>
  <c r="K1375" i="1"/>
  <c r="K1145" i="1"/>
  <c r="K1343" i="1"/>
  <c r="K1366" i="1"/>
  <c r="K1362" i="1"/>
  <c r="K1307" i="1"/>
  <c r="K1361" i="1"/>
  <c r="K1378" i="1"/>
  <c r="K1370" i="1"/>
  <c r="K1327" i="1"/>
  <c r="K1316" i="1"/>
  <c r="K1357" i="1"/>
  <c r="K1170" i="1"/>
  <c r="K1394" i="1"/>
  <c r="K1340" i="1"/>
  <c r="K1281" i="1"/>
  <c r="K1173" i="1"/>
  <c r="K1204" i="1"/>
  <c r="K1265" i="1"/>
  <c r="K1402" i="1"/>
  <c r="K1414" i="1"/>
  <c r="K1363" i="1"/>
  <c r="K1209" i="1"/>
  <c r="K1275" i="1"/>
  <c r="K1196" i="1"/>
  <c r="K1270" i="1"/>
  <c r="K1323" i="1"/>
  <c r="K1346" i="1"/>
  <c r="K1355" i="1"/>
  <c r="K1157" i="1"/>
  <c r="K1161" i="1"/>
  <c r="K1190" i="1"/>
  <c r="K1440" i="1"/>
  <c r="K1295" i="1"/>
  <c r="K1347" i="1"/>
  <c r="K1168" i="1"/>
  <c r="K1334" i="1"/>
  <c r="K1169" i="1"/>
  <c r="K1235" i="1"/>
  <c r="K1221" i="1"/>
  <c r="K1331" i="1"/>
  <c r="K1226" i="1"/>
  <c r="K1390" i="1"/>
  <c r="K1399" i="1"/>
  <c r="K1382" i="1"/>
  <c r="K1216" i="1"/>
  <c r="K1388" i="1"/>
  <c r="K1339" i="1"/>
  <c r="K1243" i="1"/>
  <c r="K1337" i="1"/>
  <c r="K1219" i="1"/>
  <c r="K1253" i="1"/>
  <c r="K1377" i="1"/>
  <c r="K1336" i="1"/>
  <c r="K1174" i="1"/>
  <c r="K1381" i="1"/>
  <c r="K1202" i="1"/>
  <c r="K1288" i="1"/>
  <c r="K1224" i="1"/>
  <c r="K1306" i="1"/>
  <c r="K1178" i="1"/>
  <c r="K1398" i="1"/>
  <c r="K1358" i="1"/>
  <c r="K1325" i="1"/>
  <c r="K1415" i="1"/>
  <c r="K1367" i="1"/>
  <c r="K1166" i="1"/>
  <c r="K1296" i="1"/>
  <c r="K1179" i="1"/>
  <c r="K1439" i="1"/>
  <c r="K1175" i="1"/>
  <c r="K1154" i="1"/>
  <c r="K1176" i="1"/>
  <c r="K1315" i="1"/>
  <c r="K1371" i="1"/>
  <c r="K1374" i="1"/>
  <c r="K1284" i="1"/>
  <c r="K1413" i="1"/>
  <c r="K1305" i="1"/>
  <c r="K1266" i="1"/>
  <c r="K1359" i="1"/>
  <c r="K1217" i="1"/>
  <c r="K1298" i="1"/>
  <c r="K1207" i="1"/>
  <c r="K1193" i="1"/>
  <c r="K1373" i="1"/>
  <c r="K1400" i="1"/>
  <c r="K1435" i="1"/>
  <c r="K1312" i="1"/>
  <c r="K1309" i="1"/>
  <c r="K1429" i="1"/>
  <c r="K1203" i="1"/>
  <c r="K1293" i="1"/>
  <c r="K1258" i="1"/>
  <c r="K1262" i="1"/>
  <c r="K1442" i="1"/>
  <c r="K1167" i="1"/>
  <c r="K1310" i="1"/>
  <c r="K1433" i="1"/>
  <c r="K1420" i="1"/>
  <c r="K1264" i="1"/>
  <c r="K1271" i="1"/>
  <c r="K1250" i="1"/>
  <c r="K1215" i="1"/>
  <c r="K1177" i="1"/>
  <c r="K1171" i="1"/>
  <c r="K1240" i="1"/>
  <c r="K1234" i="1"/>
  <c r="K1261" i="1"/>
  <c r="K1244" i="1"/>
  <c r="K1441" i="1"/>
  <c r="S32" i="1" l="1"/>
  <c r="AF53" i="1" s="1"/>
  <c r="AG53" i="1"/>
  <c r="AG47" i="1"/>
  <c r="AG45" i="1"/>
  <c r="AG38" i="1"/>
  <c r="AG44" i="1"/>
  <c r="S30" i="1" a="1"/>
  <c r="AG41" i="1" s="1"/>
  <c r="S28" i="1"/>
  <c r="S34" i="1" a="1"/>
  <c r="S26" i="1"/>
  <c r="W33" i="1"/>
  <c r="W27" i="1"/>
  <c r="W28" i="1" s="1"/>
  <c r="W29" i="1" s="1"/>
  <c r="AF45" i="1" l="1"/>
  <c r="AG54" i="1"/>
  <c r="AG51" i="1"/>
  <c r="AG39" i="1"/>
  <c r="AG50" i="1"/>
  <c r="V27" i="1"/>
  <c r="V28" i="1" s="1"/>
  <c r="V29" i="1" s="1"/>
  <c r="AF27" i="1"/>
  <c r="AG27" i="1" s="1"/>
  <c r="AF32" i="1"/>
  <c r="AG32" i="1" s="1"/>
  <c r="AF38" i="1"/>
  <c r="AF44" i="1"/>
  <c r="AF36" i="1"/>
  <c r="AG36" i="1" s="1"/>
  <c r="V33" i="1"/>
  <c r="AF33" i="1"/>
  <c r="AG33" i="1" s="1"/>
  <c r="S30" i="1"/>
  <c r="AF41" i="1" s="1"/>
  <c r="W30" i="1"/>
  <c r="W31" i="1" s="1"/>
  <c r="W32" i="1" s="1"/>
  <c r="S34" i="1"/>
  <c r="AF56" i="1" l="1"/>
  <c r="AG56" i="1" s="1"/>
  <c r="AF51" i="1"/>
  <c r="AF54" i="1"/>
  <c r="AF39" i="1"/>
  <c r="AF50" i="1"/>
  <c r="V30" i="1"/>
  <c r="V31" i="1" s="1"/>
  <c r="V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<sst xmlns="http://schemas.openxmlformats.org/spreadsheetml/2006/main" count="200" uniqueCount="114">
  <si>
    <t>Fe</t>
  </si>
  <si>
    <t>Cp</t>
  </si>
  <si>
    <t>X =</t>
  </si>
  <si>
    <t>Y =</t>
  </si>
  <si>
    <t>Max</t>
  </si>
  <si>
    <t>Min</t>
  </si>
  <si>
    <t>g</t>
  </si>
  <si>
    <t>D</t>
  </si>
  <si>
    <t>C</t>
  </si>
  <si>
    <t>B</t>
  </si>
  <si>
    <t>A</t>
  </si>
  <si>
    <t>s</t>
  </si>
  <si>
    <t>l</t>
  </si>
  <si>
    <t>cste</t>
  </si>
  <si>
    <t>cste T°</t>
  </si>
  <si>
    <t>°C</t>
  </si>
  <si>
    <t>FeS</t>
  </si>
  <si>
    <t>Reactions</t>
  </si>
  <si>
    <t>Fe₃O₄</t>
  </si>
  <si>
    <t>Fe₂O₃</t>
  </si>
  <si>
    <t>FeS₂</t>
  </si>
  <si>
    <t>FeSO₄</t>
  </si>
  <si>
    <t>Fe₂(SO₄)₃</t>
  </si>
  <si>
    <t>cal/mol°K</t>
  </si>
  <si>
    <t>Intersection</t>
  </si>
  <si>
    <t>6Fe₃O₄ = 4Fe₃O₄ + O₂(g)</t>
  </si>
  <si>
    <t>Intercept</t>
  </si>
  <si>
    <t>Species</t>
  </si>
  <si>
    <t>#</t>
  </si>
  <si>
    <t xml:space="preserve">Label </t>
  </si>
  <si>
    <t>Axis</t>
  </si>
  <si>
    <t xml:space="preserve">Temperature </t>
  </si>
  <si>
    <t>T (°C)</t>
  </si>
  <si>
    <t>Temperature</t>
  </si>
  <si>
    <t>Room temperature</t>
  </si>
  <si>
    <t>O₂(g)</t>
  </si>
  <si>
    <t>SO₂(g)</t>
  </si>
  <si>
    <r>
      <t xml:space="preserve">R </t>
    </r>
    <r>
      <rPr>
        <vertAlign val="subscript"/>
        <sz val="11"/>
        <color theme="1"/>
        <rFont val="Times New Roman"/>
        <family val="1"/>
      </rPr>
      <t>(gas constant)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</si>
  <si>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 xml:space="preserve"> (Kcal/mol)</t>
    </r>
  </si>
  <si>
    <r>
      <t>O</t>
    </r>
    <r>
      <rPr>
        <b/>
        <vertAlign val="subscript"/>
        <sz val="11"/>
        <color theme="1"/>
        <rFont val="Times New Roman"/>
        <family val="1"/>
      </rPr>
      <t>2</t>
    </r>
  </si>
  <si>
    <r>
      <t>SO</t>
    </r>
    <r>
      <rPr>
        <b/>
        <vertAlign val="subscript"/>
        <sz val="11"/>
        <color theme="1"/>
        <rFont val="Times New Roman"/>
        <family val="1"/>
      </rPr>
      <t>2</t>
    </r>
  </si>
  <si>
    <r>
      <t>3Fe + 2O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Fe</t>
    </r>
    <r>
      <rPr>
        <vertAlign val="subscript"/>
        <sz val="11"/>
        <rFont val="Times New Roman"/>
        <family val="1"/>
      </rPr>
      <t>₃</t>
    </r>
    <r>
      <rPr>
        <sz val="11"/>
        <rFont val="Times New Roman"/>
        <family val="1"/>
      </rPr>
      <t>O</t>
    </r>
    <r>
      <rPr>
        <vertAlign val="subscript"/>
        <sz val="11"/>
        <rFont val="Times New Roman"/>
        <family val="1"/>
      </rPr>
      <t>₄</t>
    </r>
  </si>
  <si>
    <r>
      <t>3FeS + 5O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Fe₃O₄ + 3SO₂(g)</t>
    </r>
  </si>
  <si>
    <r>
      <t>FeS + SO₂(g) = FeS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 xml:space="preserve"> + O₂(g)</t>
    </r>
  </si>
  <si>
    <r>
      <t>FeS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 xml:space="preserve"> + 3O₂(g) = FeSO</t>
    </r>
    <r>
      <rPr>
        <vertAlign val="subscript"/>
        <sz val="11"/>
        <rFont val="Times New Roman"/>
        <family val="1"/>
      </rPr>
      <t>₄</t>
    </r>
    <r>
      <rPr>
        <sz val="11"/>
        <rFont val="Times New Roman"/>
        <family val="1"/>
      </rPr>
      <t xml:space="preserve"> + SO₂(g)</t>
    </r>
  </si>
  <si>
    <r>
      <t>2FeS₂ + 7O₂(g) = Fe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(SO</t>
    </r>
    <r>
      <rPr>
        <vertAlign val="subscript"/>
        <sz val="11"/>
        <rFont val="Times New Roman"/>
        <family val="1"/>
      </rPr>
      <t>₄</t>
    </r>
    <r>
      <rPr>
        <sz val="11"/>
        <rFont val="Times New Roman"/>
        <family val="1"/>
      </rPr>
      <t>)</t>
    </r>
    <r>
      <rPr>
        <vertAlign val="subscript"/>
        <sz val="11"/>
        <rFont val="Times New Roman"/>
        <family val="1"/>
      </rPr>
      <t>₃</t>
    </r>
    <r>
      <rPr>
        <sz val="11"/>
        <rFont val="Times New Roman"/>
        <family val="1"/>
      </rPr>
      <t xml:space="preserve"> + SO₂(g)</t>
    </r>
  </si>
  <si>
    <r>
      <t>Fe</t>
    </r>
    <r>
      <rPr>
        <vertAlign val="subscript"/>
        <sz val="11"/>
        <rFont val="Times New Roman"/>
        <family val="1"/>
      </rPr>
      <t>₃</t>
    </r>
    <r>
      <rPr>
        <sz val="11"/>
        <rFont val="Times New Roman"/>
        <family val="1"/>
      </rPr>
      <t>O</t>
    </r>
    <r>
      <rPr>
        <vertAlign val="subscript"/>
        <sz val="11"/>
        <rFont val="Times New Roman"/>
        <family val="1"/>
      </rPr>
      <t>₄</t>
    </r>
    <r>
      <rPr>
        <sz val="11"/>
        <rFont val="Times New Roman"/>
        <family val="1"/>
      </rPr>
      <t xml:space="preserve"> + O₂(g) + 3SO₂(g) = 3FeSO₄</t>
    </r>
  </si>
  <si>
    <r>
      <t>2FeSO</t>
    </r>
    <r>
      <rPr>
        <vertAlign val="subscript"/>
        <sz val="11"/>
        <rFont val="Times New Roman"/>
        <family val="1"/>
      </rPr>
      <t>₄</t>
    </r>
    <r>
      <rPr>
        <sz val="11"/>
        <rFont val="Times New Roman"/>
        <family val="1"/>
      </rPr>
      <t xml:space="preserve"> + O₂(g) + SO₂(g)= Fe₂(SO₄)₃</t>
    </r>
  </si>
  <si>
    <r>
      <t>Fe</t>
    </r>
    <r>
      <rPr>
        <vertAlign val="subscript"/>
        <sz val="11"/>
        <color theme="1"/>
        <rFont val="Times New Roman"/>
        <family val="1"/>
      </rPr>
      <t>₂</t>
    </r>
    <r>
      <rPr>
        <sz val="11"/>
        <color theme="1"/>
        <rFont val="Times New Roman"/>
        <family val="1"/>
      </rPr>
      <t>O</t>
    </r>
    <r>
      <rPr>
        <vertAlign val="subscript"/>
        <sz val="11"/>
        <color theme="1"/>
        <rFont val="Times New Roman"/>
        <family val="1"/>
      </rPr>
      <t>₃</t>
    </r>
    <r>
      <rPr>
        <sz val="11"/>
        <color theme="1"/>
        <rFont val="Times New Roman"/>
        <family val="1"/>
      </rPr>
      <t xml:space="preserve"> + 1.5O₂(g) + 3SO₂(g) = Fe₂(SO₄)₃</t>
    </r>
  </si>
  <si>
    <r>
      <t>Table 2.</t>
    </r>
    <r>
      <rPr>
        <sz val="11"/>
        <color theme="1"/>
        <rFont val="Times New Roman"/>
        <family val="1"/>
      </rPr>
      <t xml:space="preserve"> Thermodynamic constants</t>
    </r>
  </si>
  <si>
    <r>
      <rPr>
        <b/>
        <sz val="11"/>
        <color theme="1"/>
        <rFont val="Times New Roman"/>
        <family val="1"/>
      </rPr>
      <t>Table 3.</t>
    </r>
    <r>
      <rPr>
        <sz val="11"/>
        <color theme="1"/>
        <rFont val="Times New Roman"/>
        <family val="1"/>
      </rPr>
      <t xml:space="preserve"> Intersection</t>
    </r>
  </si>
  <si>
    <r>
      <rPr>
        <b/>
        <sz val="11"/>
        <color theme="1"/>
        <rFont val="Times New Roman"/>
        <family val="1"/>
      </rPr>
      <t>Table 4.</t>
    </r>
    <r>
      <rPr>
        <sz val="11"/>
        <color theme="1"/>
        <rFont val="Times New Roman"/>
        <family val="1"/>
      </rPr>
      <t xml:space="preserve"> Intercept</t>
    </r>
  </si>
  <si>
    <r>
      <rPr>
        <b/>
        <sz val="11"/>
        <color theme="1"/>
        <rFont val="Times New Roman"/>
        <family val="1"/>
      </rPr>
      <t>Table 5.</t>
    </r>
    <r>
      <rPr>
        <sz val="11"/>
        <color theme="1"/>
        <rFont val="Times New Roman"/>
        <family val="1"/>
      </rPr>
      <t xml:space="preserve"> Label </t>
    </r>
  </si>
  <si>
    <r>
      <rPr>
        <b/>
        <sz val="11"/>
        <color theme="1"/>
        <rFont val="Times New Roman"/>
        <family val="1"/>
      </rPr>
      <t>Table 6.</t>
    </r>
    <r>
      <rPr>
        <sz val="11"/>
        <color theme="1"/>
        <rFont val="Times New Roman"/>
        <family val="1"/>
      </rPr>
      <t xml:space="preserve"> Axis</t>
    </r>
  </si>
  <si>
    <r>
      <rPr>
        <b/>
        <sz val="11"/>
        <color theme="1"/>
        <rFont val="Times New Roman"/>
        <family val="1"/>
      </rPr>
      <t>Table 7.</t>
    </r>
    <r>
      <rPr>
        <sz val="11"/>
        <color theme="1"/>
        <rFont val="Times New Roman"/>
        <family val="1"/>
      </rPr>
      <t xml:space="preserve"> Select values of each equation</t>
    </r>
  </si>
  <si>
    <r>
      <t>Fe + SO₂(g) = FeS + O</t>
    </r>
    <r>
      <rPr>
        <vertAlign val="subscript"/>
        <sz val="11"/>
        <color theme="1"/>
        <rFont val="Times New Roman"/>
        <family val="1"/>
      </rPr>
      <t>₂</t>
    </r>
    <r>
      <rPr>
        <sz val="11"/>
        <color theme="1"/>
        <rFont val="Times New Roman"/>
        <family val="1"/>
      </rPr>
      <t>(g)</t>
    </r>
  </si>
  <si>
    <r>
      <t>0.5Fe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</t>
    </r>
    <r>
      <rPr>
        <vertAlign val="subscript"/>
        <sz val="11"/>
        <rFont val="Times New Roman"/>
        <family val="1"/>
      </rPr>
      <t>₃</t>
    </r>
    <r>
      <rPr>
        <sz val="11"/>
        <rFont val="Times New Roman"/>
        <family val="1"/>
      </rPr>
      <t>+0.25O₂(g)+SO₂(g)=FeSO₄</t>
    </r>
  </si>
  <si>
    <t>H, kcal</t>
  </si>
  <si>
    <t>S, cal</t>
  </si>
  <si>
    <t>A, cal</t>
  </si>
  <si>
    <t>B, cal</t>
  </si>
  <si>
    <t>C, cal</t>
  </si>
  <si>
    <t>D, cal</t>
  </si>
  <si>
    <r>
      <t>∆H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 xml:space="preserve"> (cal)</t>
    </r>
  </si>
  <si>
    <r>
      <t>∆H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 xml:space="preserve">O, </t>
    </r>
    <r>
      <rPr>
        <b/>
        <sz val="11"/>
        <rFont val="Times New Roman"/>
        <family val="1"/>
      </rPr>
      <t>Kcal</t>
    </r>
  </si>
  <si>
    <r>
      <t>∆S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 xml:space="preserve">O, </t>
    </r>
    <r>
      <rPr>
        <b/>
        <sz val="11"/>
        <rFont val="Times New Roman"/>
        <family val="1"/>
      </rPr>
      <t>cal</t>
    </r>
  </si>
  <si>
    <r>
      <rPr>
        <b/>
        <sz val="11"/>
        <rFont val="Times New Roman"/>
        <family val="1"/>
      </rPr>
      <t>Table A.</t>
    </r>
    <r>
      <rPr>
        <sz val="11"/>
        <rFont val="Times New Roman"/>
        <family val="1"/>
      </rPr>
      <t xml:space="preserve"> Constants </t>
    </r>
  </si>
  <si>
    <r>
      <rPr>
        <b/>
        <sz val="11"/>
        <color theme="1"/>
        <rFont val="Times New Roman"/>
        <family val="1"/>
      </rPr>
      <t>Table B.</t>
    </r>
    <r>
      <rPr>
        <sz val="11"/>
        <color theme="1"/>
        <rFont val="Times New Roman"/>
        <family val="1"/>
      </rPr>
      <t xml:space="preserve"> Thermodynamic constants, HSC®</t>
    </r>
  </si>
  <si>
    <r>
      <t>T</t>
    </r>
    <r>
      <rPr>
        <b/>
        <vertAlign val="subscript"/>
        <sz val="11"/>
        <rFont val="Calibri"/>
        <family val="2"/>
      </rPr>
      <t>₁</t>
    </r>
    <r>
      <rPr>
        <b/>
        <sz val="11"/>
        <rFont val="Times New Roman"/>
        <family val="1"/>
      </rPr>
      <t>, °K</t>
    </r>
  </si>
  <si>
    <r>
      <t>T</t>
    </r>
    <r>
      <rPr>
        <b/>
        <sz val="11"/>
        <rFont val="Calibri"/>
        <family val="2"/>
      </rPr>
      <t>₂</t>
    </r>
    <r>
      <rPr>
        <b/>
        <sz val="11"/>
        <rFont val="Times New Roman"/>
        <family val="1"/>
      </rPr>
      <t>, °K</t>
    </r>
  </si>
  <si>
    <r>
      <t>∆H</t>
    </r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 xml:space="preserve"> (cal)</t>
    </r>
  </si>
  <si>
    <r>
      <t>∆S</t>
    </r>
    <r>
      <rPr>
        <b/>
        <vertAlign val="superscript"/>
        <sz val="11"/>
        <rFont val="Times New Roman"/>
        <family val="1"/>
      </rPr>
      <t xml:space="preserve">O, </t>
    </r>
    <r>
      <rPr>
        <b/>
        <sz val="11"/>
        <rFont val="Times New Roman"/>
        <family val="1"/>
      </rPr>
      <t>cal</t>
    </r>
  </si>
  <si>
    <t>Stoichiometric coefficients</t>
  </si>
  <si>
    <t>T (K)</t>
  </si>
  <si>
    <r>
      <t>∆H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</si>
  <si>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∆S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</si>
  <si>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>, Kcal</t>
    </r>
  </si>
  <si>
    <r>
      <t>∆G</t>
    </r>
    <r>
      <rPr>
        <b/>
        <vertAlign val="subscript"/>
        <sz val="11"/>
        <color theme="1"/>
        <rFont val="Times New Roman"/>
        <family val="1"/>
      </rPr>
      <t>rxn</t>
    </r>
    <r>
      <rPr>
        <b/>
        <sz val="11"/>
        <color theme="1"/>
        <rFont val="Times New Roman"/>
        <family val="1"/>
      </rPr>
      <t xml:space="preserve"> (Kcal/mol)</t>
    </r>
  </si>
  <si>
    <t>K</t>
  </si>
  <si>
    <t>Cp, cal</t>
  </si>
  <si>
    <r>
      <t>∆H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</si>
  <si>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∆S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</si>
  <si>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∆G</t>
    </r>
    <r>
      <rPr>
        <vertAlign val="superscript"/>
        <sz val="10"/>
        <color theme="1"/>
        <rFont val="Times New Roman"/>
        <family val="1"/>
      </rPr>
      <t>0</t>
    </r>
    <r>
      <rPr>
        <b/>
        <sz val="10"/>
        <rFont val="Times New Roman"/>
        <family val="1"/>
      </rPr>
      <t>, Kcal</t>
    </r>
  </si>
  <si>
    <r>
      <rPr>
        <b/>
        <sz val="11"/>
        <color theme="1"/>
        <rFont val="Times New Roman"/>
        <family val="1"/>
      </rPr>
      <t xml:space="preserve">Table C. </t>
    </r>
    <r>
      <rPr>
        <sz val="11"/>
        <color theme="1"/>
        <rFont val="Times New Roman"/>
        <family val="1"/>
      </rPr>
      <t>Thermodynamic calculation at T</t>
    </r>
    <r>
      <rPr>
        <sz val="11"/>
        <color theme="1"/>
        <rFont val="Calibri"/>
        <family val="2"/>
      </rPr>
      <t>₂</t>
    </r>
  </si>
  <si>
    <r>
      <rPr>
        <b/>
        <sz val="10"/>
        <color theme="1"/>
        <rFont val="Times New Roman"/>
        <family val="1"/>
      </rPr>
      <t>Table D.</t>
    </r>
    <r>
      <rPr>
        <sz val="10"/>
        <color theme="1"/>
        <rFont val="Times New Roman"/>
        <family val="1"/>
      </rPr>
      <t xml:space="preserve"> Selection of constants and </t>
    </r>
    <r>
      <rPr>
        <sz val="10"/>
        <color theme="1"/>
        <rFont val="Calibri"/>
        <family val="2"/>
      </rPr>
      <t>Δ</t>
    </r>
    <r>
      <rPr>
        <sz val="10"/>
        <color theme="1"/>
        <rFont val="Times New Roman"/>
        <family val="1"/>
      </rPr>
      <t xml:space="preserve">H° and ΔS° calculation at working temperature </t>
    </r>
  </si>
  <si>
    <r>
      <rPr>
        <b/>
        <sz val="11"/>
        <color theme="1"/>
        <rFont val="Times New Roman"/>
        <family val="1"/>
      </rPr>
      <t>Table E.</t>
    </r>
    <r>
      <rPr>
        <sz val="11"/>
        <color theme="1"/>
        <rFont val="Times New Roman"/>
        <family val="1"/>
      </rPr>
      <t xml:space="preserve"> Determination of </t>
    </r>
    <r>
      <rPr>
        <sz val="11"/>
        <color theme="1"/>
        <rFont val="Calibri"/>
        <family val="2"/>
      </rPr>
      <t>Δ</t>
    </r>
    <r>
      <rPr>
        <sz val="11"/>
        <color theme="1"/>
        <rFont val="Times New Roman"/>
        <family val="1"/>
      </rPr>
      <t>G° at working temperature</t>
    </r>
  </si>
  <si>
    <r>
      <t>logPO</t>
    </r>
    <r>
      <rPr>
        <b/>
        <vertAlign val="subscript"/>
        <sz val="11"/>
        <color theme="1"/>
        <rFont val="Times New Roman"/>
        <family val="1"/>
      </rPr>
      <t>₂</t>
    </r>
  </si>
  <si>
    <t>logPSO₂</t>
  </si>
  <si>
    <t>logK</t>
  </si>
  <si>
    <t>logPO₂</t>
  </si>
  <si>
    <r>
      <t>logPO</t>
    </r>
    <r>
      <rPr>
        <b/>
        <sz val="11"/>
        <color theme="1"/>
        <rFont val="Calibri"/>
        <family val="2"/>
      </rPr>
      <t>₂</t>
    </r>
  </si>
  <si>
    <r>
      <t>logPSO</t>
    </r>
    <r>
      <rPr>
        <b/>
        <sz val="11"/>
        <color theme="1"/>
        <rFont val="Calibri"/>
        <family val="2"/>
      </rPr>
      <t>₂</t>
    </r>
  </si>
  <si>
    <t>logPSO₂=logPO₂-logK</t>
  </si>
  <si>
    <t>logO₂=-logK/2</t>
  </si>
  <si>
    <t>logPSO₂=(logK+5logPO₂)/3</t>
  </si>
  <si>
    <t>logPSO₂=3logPO₂+logK</t>
  </si>
  <si>
    <t>logPSO₂=7logPO₂+logK</t>
  </si>
  <si>
    <t>logPSO₂=(-logPO₂-logK)/3</t>
  </si>
  <si>
    <t>logPO₂=logK</t>
  </si>
  <si>
    <t>logPSO₂=-logPO₂-logK</t>
  </si>
  <si>
    <t>logPSO₂=(-1.5logPO₂-logK)/3</t>
  </si>
  <si>
    <t>logK=logPO2-logPSO2</t>
  </si>
  <si>
    <t>logK=-2logPSO2</t>
  </si>
  <si>
    <t>logK=3logPSO2-5logPO2</t>
  </si>
  <si>
    <t>logK=logPSO2-3logPO2</t>
  </si>
  <si>
    <t>logK=logPSO2-7logPO2</t>
  </si>
  <si>
    <t>logK=-3logPSO2-logPO2</t>
  </si>
  <si>
    <t>logK=logPSO2</t>
  </si>
  <si>
    <t>logK=-logPSO2-logPO2</t>
  </si>
  <si>
    <t>logK=-3logPSO2-1.5logPO2</t>
  </si>
  <si>
    <r>
      <t>logPO</t>
    </r>
    <r>
      <rPr>
        <vertAlign val="subscript"/>
        <sz val="11"/>
        <rFont val="Times New Roman"/>
        <family val="1"/>
      </rPr>
      <t>₂</t>
    </r>
  </si>
  <si>
    <r>
      <t>logPSO</t>
    </r>
    <r>
      <rPr>
        <vertAlign val="subscript"/>
        <sz val="11"/>
        <rFont val="Times New Roman"/>
        <family val="1"/>
      </rPr>
      <t>₂</t>
    </r>
  </si>
  <si>
    <r>
      <rPr>
        <b/>
        <sz val="11"/>
        <color theme="1"/>
        <rFont val="Times New Roman"/>
        <family val="1"/>
      </rPr>
      <t xml:space="preserve">Table 1. </t>
    </r>
    <r>
      <rPr>
        <sz val="11"/>
        <color theme="1"/>
        <rFont val="Times New Roman"/>
        <family val="1"/>
      </rPr>
      <t>Determination logK</t>
    </r>
  </si>
  <si>
    <t>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</si>
</sst>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sz val="11"/>
      <name val="Times New Roman"/>
      <family val="1"/>
    </font>
    <font>
      <vertAlign val="subscript"/>
      <sz val="11"/>
      <name val="Times New Roman"/>
      <family val="1"/>
    </font>
    <font>
      <sz val="11"/>
      <color rgb="FFFF0000"/>
      <name val="Times New Roman"/>
      <family val="1"/>
    </font>
    <font>
      <sz val="11"/>
      <color theme="5"/>
      <name val="Times New Roman"/>
      <family val="1"/>
    </font>
    <font>
      <sz val="11"/>
      <color theme="4"/>
      <name val="Times New Roman"/>
      <family val="1"/>
    </font>
    <font>
      <sz val="11"/>
      <color theme="6" tint="-0.499984740745262"/>
      <name val="Times New Roman"/>
      <family val="1"/>
    </font>
    <font>
      <sz val="11"/>
      <color rgb="FF00B050"/>
      <name val="Times New Roman"/>
      <family val="1"/>
    </font>
    <font>
      <sz val="11"/>
      <color theme="9" tint="-0.499984740745262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Calibri"/>
      <family val="2"/>
    </font>
    <font>
      <b/>
      <vertAlign val="subscript"/>
      <sz val="11"/>
      <name val="Times New Roman"/>
      <family val="1"/>
    </font>
    <font>
      <b/>
      <vertAlign val="superscript"/>
      <sz val="11"/>
      <name val="Times New Roman"/>
      <family val="1"/>
    </font>
    <font>
      <sz val="11"/>
      <color theme="1"/>
      <name val="Calibri"/>
      <family val="2"/>
    </font>
    <font>
      <b/>
      <vertAlign val="subscript"/>
      <sz val="11"/>
      <name val="Calibri"/>
      <family val="2"/>
    </font>
    <font>
      <b/>
      <sz val="11"/>
      <name val="Calibri"/>
      <family val="2"/>
    </font>
    <font>
      <b/>
      <sz val="10"/>
      <name val="Times New Roman"/>
      <family val="1"/>
    </font>
    <font>
      <b/>
      <vertAlign val="superscript"/>
      <sz val="10"/>
      <name val="Times New Roman"/>
      <family val="1"/>
    </font>
    <font>
      <vertAlign val="superscript"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3" fontId="1" fillId="0" borderId="0" applyFont="0" applyFill="0" applyBorder="0" applyAlignment="0" applyProtection="0"/>
  </cellStyleXfs>
  <cellXfs count="175">
    <xf numFmtId="0" fontId="0" fillId="0" borderId="0" xfId="0"/>
    <xf numFmtId="0" fontId="4" fillId="0" borderId="6" xfId="0" applyFont="1" applyBorder="1"/>
    <xf numFmtId="0" fontId="4" fillId="0" borderId="8" xfId="0" applyFont="1" applyBorder="1"/>
    <xf numFmtId="0" fontId="4" fillId="0" borderId="0" xfId="0" applyFont="1"/>
    <xf numFmtId="0" fontId="5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5" fillId="0" borderId="1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0" xfId="0" applyFont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10" xfId="0" applyNumberFormat="1" applyFont="1" applyBorder="1" applyAlignment="1">
      <alignment horizontal="center"/>
    </xf>
    <xf numFmtId="2" fontId="4" fillId="0" borderId="13" xfId="0" applyNumberFormat="1" applyFont="1" applyBorder="1" applyAlignment="1">
      <alignment horizontal="center"/>
    </xf>
    <xf numFmtId="0" fontId="10" fillId="0" borderId="10" xfId="1" applyFont="1" applyBorder="1" applyAlignment="1">
      <alignment horizontal="left"/>
    </xf>
    <xf numFmtId="0" fontId="12" fillId="0" borderId="0" xfId="0" applyFont="1"/>
    <xf numFmtId="2" fontId="4" fillId="0" borderId="0" xfId="0" applyNumberFormat="1" applyFont="1"/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14" xfId="0" applyFont="1" applyBorder="1"/>
    <xf numFmtId="49" fontId="4" fillId="0" borderId="0" xfId="0" applyNumberFormat="1" applyFont="1" applyAlignment="1">
      <alignment horizontal="right"/>
    </xf>
    <xf numFmtId="0" fontId="4" fillId="0" borderId="7" xfId="0" applyFont="1" applyBorder="1" applyAlignment="1">
      <alignment horizontal="center"/>
    </xf>
    <xf numFmtId="0" fontId="10" fillId="0" borderId="6" xfId="0" applyFont="1" applyBorder="1"/>
    <xf numFmtId="2" fontId="10" fillId="0" borderId="8" xfId="0" applyNumberFormat="1" applyFont="1" applyBorder="1"/>
    <xf numFmtId="0" fontId="5" fillId="0" borderId="11" xfId="0" applyFont="1" applyBorder="1"/>
    <xf numFmtId="0" fontId="4" fillId="0" borderId="6" xfId="0" applyFont="1" applyBorder="1" applyAlignment="1">
      <alignment horizontal="center"/>
    </xf>
    <xf numFmtId="2" fontId="4" fillId="0" borderId="7" xfId="0" applyNumberFormat="1" applyFont="1" applyBorder="1"/>
    <xf numFmtId="2" fontId="4" fillId="0" borderId="8" xfId="0" applyNumberFormat="1" applyFont="1" applyBorder="1"/>
    <xf numFmtId="0" fontId="13" fillId="0" borderId="0" xfId="0" applyFont="1"/>
    <xf numFmtId="0" fontId="14" fillId="0" borderId="0" xfId="0" applyFont="1"/>
    <xf numFmtId="0" fontId="10" fillId="0" borderId="11" xfId="0" applyFont="1" applyBorder="1"/>
    <xf numFmtId="2" fontId="10" fillId="0" borderId="12" xfId="0" applyNumberFormat="1" applyFont="1" applyBorder="1"/>
    <xf numFmtId="0" fontId="4" fillId="0" borderId="6" xfId="0" applyFont="1" applyBorder="1" applyAlignment="1">
      <alignment horizontal="left"/>
    </xf>
    <xf numFmtId="2" fontId="4" fillId="0" borderId="7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0" fontId="4" fillId="0" borderId="7" xfId="0" applyFont="1" applyBorder="1"/>
    <xf numFmtId="2" fontId="4" fillId="0" borderId="10" xfId="0" applyNumberFormat="1" applyFont="1" applyBorder="1"/>
    <xf numFmtId="164" fontId="4" fillId="0" borderId="10" xfId="0" applyNumberFormat="1" applyFont="1" applyBorder="1" applyAlignment="1">
      <alignment horizontal="center"/>
    </xf>
    <xf numFmtId="0" fontId="4" fillId="0" borderId="9" xfId="1" applyFont="1" applyBorder="1" applyAlignment="1">
      <alignment horizontal="left"/>
    </xf>
    <xf numFmtId="0" fontId="4" fillId="0" borderId="3" xfId="0" applyFont="1" applyBorder="1"/>
    <xf numFmtId="0" fontId="4" fillId="0" borderId="3" xfId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4" fillId="0" borderId="11" xfId="1" applyFont="1" applyBorder="1" applyAlignment="1">
      <alignment horizontal="left"/>
    </xf>
    <xf numFmtId="0" fontId="17" fillId="0" borderId="0" xfId="0" applyFont="1"/>
    <xf numFmtId="0" fontId="18" fillId="0" borderId="0" xfId="0" applyFont="1"/>
    <xf numFmtId="0" fontId="4" fillId="0" borderId="0" xfId="0" applyFont="1" applyAlignment="1">
      <alignment horizontal="center" vertical="center"/>
    </xf>
    <xf numFmtId="0" fontId="19" fillId="0" borderId="0" xfId="0" applyFont="1"/>
    <xf numFmtId="2" fontId="4" fillId="0" borderId="0" xfId="0" applyNumberFormat="1" applyFont="1" applyAlignment="1">
      <alignment horizontal="left"/>
    </xf>
    <xf numFmtId="2" fontId="4" fillId="0" borderId="3" xfId="0" applyNumberFormat="1" applyFont="1" applyBorder="1"/>
    <xf numFmtId="164" fontId="4" fillId="0" borderId="0" xfId="0" applyNumberFormat="1" applyFont="1"/>
    <xf numFmtId="1" fontId="10" fillId="0" borderId="6" xfId="1" applyNumberFormat="1" applyFont="1" applyBorder="1" applyAlignment="1">
      <alignment horizontal="center"/>
    </xf>
    <xf numFmtId="0" fontId="10" fillId="0" borderId="7" xfId="1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9" xfId="1" applyFont="1" applyBorder="1" applyAlignment="1">
      <alignment horizontal="center"/>
    </xf>
    <xf numFmtId="1" fontId="10" fillId="0" borderId="11" xfId="1" applyNumberFormat="1" applyFont="1" applyBorder="1" applyAlignment="1">
      <alignment horizontal="center"/>
    </xf>
    <xf numFmtId="0" fontId="10" fillId="0" borderId="3" xfId="1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1" xfId="1" applyFont="1" applyBorder="1" applyAlignment="1">
      <alignment horizontal="center"/>
    </xf>
    <xf numFmtId="0" fontId="10" fillId="0" borderId="0" xfId="1" applyFont="1" applyAlignment="1">
      <alignment horizontal="left"/>
    </xf>
    <xf numFmtId="164" fontId="10" fillId="0" borderId="0" xfId="1" applyNumberFormat="1" applyFont="1" applyAlignment="1">
      <alignment horizontal="left"/>
    </xf>
    <xf numFmtId="0" fontId="5" fillId="0" borderId="0" xfId="0" applyFont="1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4" fillId="0" borderId="0" xfId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8" xfId="0" applyFont="1" applyBorder="1" applyAlignment="1">
      <alignment horizontal="center"/>
    </xf>
    <xf numFmtId="164" fontId="7" fillId="0" borderId="0" xfId="1" applyNumberFormat="1" applyFont="1" applyAlignment="1">
      <alignment horizontal="center" vertical="center" wrapText="1"/>
    </xf>
    <xf numFmtId="164" fontId="7" fillId="0" borderId="2" xfId="1" applyNumberFormat="1" applyFont="1" applyBorder="1" applyAlignment="1">
      <alignment horizontal="center" vertical="center" wrapText="1"/>
    </xf>
    <xf numFmtId="164" fontId="7" fillId="0" borderId="1" xfId="1" applyNumberFormat="1" applyFont="1" applyBorder="1" applyAlignment="1">
      <alignment horizontal="center" vertical="center" wrapText="1"/>
    </xf>
    <xf numFmtId="164" fontId="7" fillId="0" borderId="14" xfId="1" applyNumberFormat="1" applyFont="1" applyBorder="1" applyAlignment="1">
      <alignment horizontal="center" vertical="center" wrapText="1"/>
    </xf>
    <xf numFmtId="0" fontId="10" fillId="0" borderId="0" xfId="0" applyFont="1"/>
    <xf numFmtId="0" fontId="4" fillId="0" borderId="2" xfId="0" applyFont="1" applyBorder="1"/>
    <xf numFmtId="164" fontId="7" fillId="0" borderId="6" xfId="1" applyNumberFormat="1" applyFont="1" applyBorder="1" applyAlignment="1">
      <alignment horizontal="left"/>
    </xf>
    <xf numFmtId="2" fontId="4" fillId="0" borderId="6" xfId="1" applyNumberFormat="1" applyFont="1" applyBorder="1" applyAlignment="1">
      <alignment horizontal="center" vertical="center"/>
    </xf>
    <xf numFmtId="2" fontId="4" fillId="0" borderId="7" xfId="1" applyNumberFormat="1" applyFont="1" applyBorder="1" applyAlignment="1">
      <alignment horizontal="center" vertical="center"/>
    </xf>
    <xf numFmtId="2" fontId="4" fillId="0" borderId="8" xfId="1" applyNumberFormat="1" applyFont="1" applyBorder="1" applyAlignment="1">
      <alignment horizontal="center" vertical="center"/>
    </xf>
    <xf numFmtId="164" fontId="7" fillId="0" borderId="11" xfId="1" applyNumberFormat="1" applyFont="1" applyBorder="1" applyAlignment="1">
      <alignment horizontal="left"/>
    </xf>
    <xf numFmtId="2" fontId="4" fillId="0" borderId="11" xfId="0" applyNumberFormat="1" applyFont="1" applyBorder="1" applyAlignment="1">
      <alignment horizontal="center" vertical="center"/>
    </xf>
    <xf numFmtId="11" fontId="4" fillId="0" borderId="3" xfId="0" applyNumberFormat="1" applyFont="1" applyBorder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164" fontId="7" fillId="0" borderId="0" xfId="1" applyNumberFormat="1" applyFont="1"/>
    <xf numFmtId="164" fontId="7" fillId="0" borderId="0" xfId="1" applyNumberFormat="1" applyFont="1" applyAlignment="1">
      <alignment horizontal="center"/>
    </xf>
    <xf numFmtId="164" fontId="10" fillId="0" borderId="0" xfId="1" applyNumberFormat="1" applyFont="1"/>
    <xf numFmtId="164" fontId="10" fillId="0" borderId="6" xfId="1" applyNumberFormat="1" applyFont="1" applyBorder="1" applyAlignment="1">
      <alignment horizontal="center"/>
    </xf>
    <xf numFmtId="164" fontId="10" fillId="0" borderId="7" xfId="1" applyNumberFormat="1" applyFont="1" applyBorder="1" applyAlignment="1">
      <alignment horizontal="center"/>
    </xf>
    <xf numFmtId="164" fontId="10" fillId="0" borderId="8" xfId="1" applyNumberFormat="1" applyFont="1" applyBorder="1" applyAlignment="1">
      <alignment horizontal="center"/>
    </xf>
    <xf numFmtId="164" fontId="10" fillId="0" borderId="0" xfId="1" applyNumberFormat="1" applyFont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1" xfId="3" applyNumberFormat="1" applyFont="1" applyBorder="1" applyAlignment="1">
      <alignment horizontal="center"/>
    </xf>
    <xf numFmtId="164" fontId="4" fillId="0" borderId="3" xfId="3" applyNumberFormat="1" applyFont="1" applyBorder="1" applyAlignment="1">
      <alignment horizontal="center"/>
    </xf>
    <xf numFmtId="11" fontId="4" fillId="0" borderId="3" xfId="0" applyNumberFormat="1" applyFont="1" applyBorder="1" applyAlignment="1">
      <alignment horizontal="center"/>
    </xf>
    <xf numFmtId="164" fontId="4" fillId="0" borderId="12" xfId="3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4" fillId="0" borderId="2" xfId="3" applyNumberFormat="1" applyFont="1" applyBorder="1" applyAlignment="1">
      <alignment horizontal="center"/>
    </xf>
    <xf numFmtId="164" fontId="4" fillId="0" borderId="1" xfId="3" applyNumberFormat="1" applyFont="1" applyBorder="1" applyAlignment="1">
      <alignment horizontal="center"/>
    </xf>
    <xf numFmtId="164" fontId="5" fillId="0" borderId="14" xfId="3" applyNumberFormat="1" applyFont="1" applyBorder="1" applyAlignment="1">
      <alignment horizontal="center"/>
    </xf>
    <xf numFmtId="164" fontId="10" fillId="0" borderId="9" xfId="1" applyNumberFormat="1" applyFont="1" applyBorder="1" applyAlignment="1">
      <alignment horizontal="center"/>
    </xf>
    <xf numFmtId="164" fontId="10" fillId="0" borderId="10" xfId="1" applyNumberFormat="1" applyFont="1" applyBorder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4" fillId="0" borderId="0" xfId="3" applyNumberFormat="1" applyFont="1" applyAlignment="1">
      <alignment horizontal="center"/>
    </xf>
    <xf numFmtId="11" fontId="4" fillId="0" borderId="0" xfId="0" applyNumberFormat="1" applyFont="1" applyAlignment="1">
      <alignment horizontal="center"/>
    </xf>
    <xf numFmtId="164" fontId="4" fillId="0" borderId="0" xfId="3" applyNumberFormat="1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164" fontId="7" fillId="0" borderId="0" xfId="2" applyNumberFormat="1" applyFont="1"/>
    <xf numFmtId="164" fontId="10" fillId="0" borderId="0" xfId="2" applyNumberFormat="1" applyFont="1"/>
    <xf numFmtId="164" fontId="10" fillId="0" borderId="6" xfId="2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/>
    </xf>
    <xf numFmtId="164" fontId="10" fillId="0" borderId="8" xfId="2" applyNumberFormat="1" applyFont="1" applyBorder="1" applyAlignment="1">
      <alignment horizontal="center"/>
    </xf>
    <xf numFmtId="164" fontId="10" fillId="0" borderId="0" xfId="2" applyNumberFormat="1" applyFont="1" applyAlignment="1">
      <alignment horizontal="center"/>
    </xf>
    <xf numFmtId="164" fontId="10" fillId="0" borderId="6" xfId="0" applyNumberFormat="1" applyFont="1" applyBorder="1" applyAlignment="1">
      <alignment horizontal="center"/>
    </xf>
    <xf numFmtId="164" fontId="10" fillId="0" borderId="7" xfId="0" applyNumberFormat="1" applyFont="1" applyBorder="1" applyAlignment="1">
      <alignment horizontal="center"/>
    </xf>
    <xf numFmtId="164" fontId="10" fillId="0" borderId="8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1" fontId="4" fillId="0" borderId="1" xfId="0" applyNumberFormat="1" applyFont="1" applyBorder="1" applyAlignment="1">
      <alignment horizontal="center"/>
    </xf>
    <xf numFmtId="164" fontId="4" fillId="0" borderId="14" xfId="3" applyNumberFormat="1" applyFont="1" applyBorder="1" applyAlignment="1">
      <alignment horizontal="center"/>
    </xf>
    <xf numFmtId="164" fontId="10" fillId="0" borderId="9" xfId="2" applyNumberFormat="1" applyFont="1" applyBorder="1" applyAlignment="1">
      <alignment horizontal="center"/>
    </xf>
    <xf numFmtId="164" fontId="10" fillId="0" borderId="10" xfId="2" applyNumberFormat="1" applyFont="1" applyBorder="1" applyAlignment="1">
      <alignment horizontal="center"/>
    </xf>
    <xf numFmtId="11" fontId="4" fillId="0" borderId="0" xfId="0" applyNumberFormat="1" applyFont="1"/>
    <xf numFmtId="164" fontId="10" fillId="0" borderId="11" xfId="2" applyNumberFormat="1" applyFont="1" applyBorder="1" applyAlignment="1">
      <alignment horizontal="center"/>
    </xf>
    <xf numFmtId="164" fontId="10" fillId="0" borderId="3" xfId="2" applyNumberFormat="1" applyFont="1" applyBorder="1" applyAlignment="1">
      <alignment horizontal="center"/>
    </xf>
    <xf numFmtId="164" fontId="10" fillId="0" borderId="12" xfId="2" applyNumberFormat="1" applyFont="1" applyBorder="1" applyAlignment="1">
      <alignment horizontal="center"/>
    </xf>
    <xf numFmtId="164" fontId="7" fillId="0" borderId="0" xfId="2" applyNumberFormat="1" applyFont="1" applyAlignment="1">
      <alignment horizontal="center"/>
    </xf>
    <xf numFmtId="164" fontId="10" fillId="0" borderId="2" xfId="2" applyNumberFormat="1" applyFont="1" applyBorder="1" applyAlignment="1">
      <alignment horizontal="center"/>
    </xf>
    <xf numFmtId="164" fontId="10" fillId="0" borderId="1" xfId="2" applyNumberFormat="1" applyFont="1" applyBorder="1" applyAlignment="1">
      <alignment horizontal="center"/>
    </xf>
    <xf numFmtId="164" fontId="10" fillId="0" borderId="14" xfId="2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164" fontId="7" fillId="0" borderId="0" xfId="1" applyNumberFormat="1" applyFont="1" applyAlignment="1">
      <alignment horizontal="right"/>
    </xf>
    <xf numFmtId="164" fontId="7" fillId="0" borderId="7" xfId="1" applyNumberFormat="1" applyFont="1" applyBorder="1" applyAlignment="1">
      <alignment horizontal="left"/>
    </xf>
    <xf numFmtId="164" fontId="7" fillId="0" borderId="7" xfId="1" applyNumberFormat="1" applyFont="1" applyBorder="1" applyAlignment="1">
      <alignment horizontal="center"/>
    </xf>
    <xf numFmtId="164" fontId="26" fillId="2" borderId="2" xfId="1" applyNumberFormat="1" applyFont="1" applyFill="1" applyBorder="1" applyAlignment="1">
      <alignment horizontal="center" vertical="center" wrapText="1"/>
    </xf>
    <xf numFmtId="164" fontId="26" fillId="2" borderId="1" xfId="1" applyNumberFormat="1" applyFont="1" applyFill="1" applyBorder="1" applyAlignment="1">
      <alignment horizontal="center" vertical="center" wrapText="1"/>
    </xf>
    <xf numFmtId="164" fontId="26" fillId="2" borderId="14" xfId="1" applyNumberFormat="1" applyFont="1" applyFill="1" applyBorder="1" applyAlignment="1">
      <alignment horizontal="center" vertical="center" wrapText="1"/>
    </xf>
    <xf numFmtId="0" fontId="29" fillId="2" borderId="0" xfId="0" applyFont="1" applyFill="1"/>
    <xf numFmtId="0" fontId="5" fillId="0" borderId="8" xfId="0" applyFont="1" applyBorder="1"/>
    <xf numFmtId="164" fontId="5" fillId="0" borderId="7" xfId="1" applyNumberFormat="1" applyFont="1" applyBorder="1" applyAlignment="1">
      <alignment horizontal="center" vertical="center" wrapText="1"/>
    </xf>
    <xf numFmtId="164" fontId="5" fillId="0" borderId="7" xfId="1" applyNumberFormat="1" applyFont="1" applyBorder="1" applyAlignment="1">
      <alignment horizontal="center" vertical="center"/>
    </xf>
    <xf numFmtId="164" fontId="5" fillId="0" borderId="8" xfId="1" applyNumberFormat="1" applyFont="1" applyBorder="1" applyAlignment="1">
      <alignment horizontal="center" vertical="center"/>
    </xf>
    <xf numFmtId="2" fontId="4" fillId="0" borderId="12" xfId="0" applyNumberFormat="1" applyFont="1" applyBorder="1"/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7" fillId="0" borderId="6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</cellXfs>
  <cellStyles count="4">
    <cellStyle name="Millares" xfId="3" builtinId="3"/>
    <cellStyle name="Normal" xfId="0" builtinId="0"/>
    <cellStyle name="Normal_Calculos" xfId="2" xr:uid="{C50EAD77-E6A6-4F67-B91E-FEF7382314A2}"/>
    <cellStyle name="Normal_Hoja1" xfId="1" xr:uid="{A536D5B2-F73A-417D-8B23-ABC3BA6078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Fe!$Q$2</c:f>
          <c:strCache>
            <c:ptCount val="1"/>
            <c:pt idx="0">
              <c:v>Predominance area diagrams for the Fe-S-O at 800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Fe!$AF$26:$AF$57</c:f>
              <c:numCache>
                <c:formatCode>0.00</c:formatCode>
                <c:ptCount val="32"/>
                <c:pt idx="0">
                  <c:v>-40</c:v>
                </c:pt>
                <c:pt idx="1">
                  <c:v>-28.512343040773242</c:v>
                </c:pt>
                <c:pt idx="3">
                  <c:v>-28.512343040773242</c:v>
                </c:pt>
                <c:pt idx="4">
                  <c:v>-28.512343040773242</c:v>
                </c:pt>
                <c:pt idx="6">
                  <c:v>-28.512343040773242</c:v>
                </c:pt>
                <c:pt idx="7">
                  <c:v>-19.981533165391504</c:v>
                </c:pt>
                <c:pt idx="9">
                  <c:v>-40</c:v>
                </c:pt>
                <c:pt idx="10">
                  <c:v>-19.981533165391504</c:v>
                </c:pt>
                <c:pt idx="12">
                  <c:v>-19.981533165391504</c:v>
                </c:pt>
                <c:pt idx="13">
                  <c:v>-15.260088601423412</c:v>
                </c:pt>
                <c:pt idx="15">
                  <c:v>-15.260088601423412</c:v>
                </c:pt>
                <c:pt idx="16">
                  <c:v>-13.472172215138357</c:v>
                </c:pt>
                <c:pt idx="18">
                  <c:v>-19.981533165391504</c:v>
                </c:pt>
                <c:pt idx="19">
                  <c:v>-16.840292660104293</c:v>
                </c:pt>
                <c:pt idx="21">
                  <c:v>-16.840292660104293</c:v>
                </c:pt>
                <c:pt idx="22">
                  <c:v>-16.840292660104293</c:v>
                </c:pt>
                <c:pt idx="24">
                  <c:v>-15.260088601423412</c:v>
                </c:pt>
                <c:pt idx="25">
                  <c:v>-6.4956845468942568</c:v>
                </c:pt>
                <c:pt idx="27">
                  <c:v>-16.840292660104293</c:v>
                </c:pt>
                <c:pt idx="28">
                  <c:v>-6.4956845468942568</c:v>
                </c:pt>
                <c:pt idx="30">
                  <c:v>-6.4956845468942568</c:v>
                </c:pt>
                <c:pt idx="31">
                  <c:v>10</c:v>
                </c:pt>
              </c:numCache>
            </c:numRef>
          </c:xVal>
          <c:yVal>
            <c:numRef>
              <c:f>Fe!$AG$26:$AG$57</c:f>
              <c:numCache>
                <c:formatCode>0.00</c:formatCode>
                <c:ptCount val="32"/>
                <c:pt idx="0">
                  <c:v>-27.868840897042634</c:v>
                </c:pt>
                <c:pt idx="1">
                  <c:v>-16.381183937815877</c:v>
                </c:pt>
                <c:pt idx="3">
                  <c:v>-40</c:v>
                </c:pt>
                <c:pt idx="4">
                  <c:v>-16.381183937815877</c:v>
                </c:pt>
                <c:pt idx="6">
                  <c:v>-16.381183937815873</c:v>
                </c:pt>
                <c:pt idx="7">
                  <c:v>-2.1631674788463093</c:v>
                </c:pt>
                <c:pt idx="9">
                  <c:v>-22.181634313454804</c:v>
                </c:pt>
                <c:pt idx="10">
                  <c:v>-2.163167478846308</c:v>
                </c:pt>
                <c:pt idx="12">
                  <c:v>-2.1631674788463116</c:v>
                </c:pt>
                <c:pt idx="13">
                  <c:v>7.4845852960046102</c:v>
                </c:pt>
                <c:pt idx="15">
                  <c:v>7.4845852960046102</c:v>
                </c:pt>
                <c:pt idx="16">
                  <c:v>20</c:v>
                </c:pt>
                <c:pt idx="18">
                  <c:v>-2.1631674788463116</c:v>
                </c:pt>
                <c:pt idx="19">
                  <c:v>1.3063332697779702</c:v>
                </c:pt>
                <c:pt idx="21">
                  <c:v>1.3063332697779702</c:v>
                </c:pt>
                <c:pt idx="22">
                  <c:v>-40</c:v>
                </c:pt>
                <c:pt idx="24">
                  <c:v>7.4845852960046102</c:v>
                </c:pt>
                <c:pt idx="25">
                  <c:v>-1.2798187585245344</c:v>
                </c:pt>
                <c:pt idx="27">
                  <c:v>1.3063332697779702</c:v>
                </c:pt>
                <c:pt idx="28">
                  <c:v>-1.2798187585245344</c:v>
                </c:pt>
                <c:pt idx="30">
                  <c:v>-1.2798187585245351</c:v>
                </c:pt>
                <c:pt idx="31">
                  <c:v>-9.5276610319716628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AD-4F8E-9947-1E7BCC9CD716}"/>
            </c:ext>
          </c:extLst>
        </c:ser>
        <c:ser>
          <c:idx val="1"/>
          <c:order val="1"/>
          <c:tx>
            <c:strRef>
              <c:f>Fe!$U$27</c:f>
              <c:strCache>
                <c:ptCount val="1"/>
                <c:pt idx="0">
                  <c:v>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5.1239401155545691E-2"/>
                  <c:y val="6.743436956270222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Fe!$V$27</c:f>
              <c:numCache>
                <c:formatCode>0.00</c:formatCode>
                <c:ptCount val="1"/>
                <c:pt idx="0">
                  <c:v>-28.512343040773242</c:v>
                </c:pt>
              </c:numCache>
            </c:numRef>
          </c:xVal>
          <c:yVal>
            <c:numRef>
              <c:f>Fe!$W$27</c:f>
              <c:numCache>
                <c:formatCode>0.00</c:formatCode>
                <c:ptCount val="1"/>
                <c:pt idx="0">
                  <c:v>-16.381183937815877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AD-4F8E-9947-1E7BCC9CD716}"/>
            </c:ext>
          </c:extLst>
        </c:ser>
        <c:ser>
          <c:idx val="2"/>
          <c:order val="2"/>
          <c:tx>
            <c:strRef>
              <c:f>Fe!$U$28</c:f>
              <c:strCache>
                <c:ptCount val="1"/>
                <c:pt idx="0">
                  <c:v>Fe₃O₄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7.5111601102361356E-2"/>
                  <c:y val="-7.0644750559700851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Fe!$V$28</c:f>
              <c:numCache>
                <c:formatCode>0.00</c:formatCode>
                <c:ptCount val="1"/>
                <c:pt idx="0">
                  <c:v>-28.512343040773242</c:v>
                </c:pt>
              </c:numCache>
            </c:numRef>
          </c:xVal>
          <c:yVal>
            <c:numRef>
              <c:f>Fe!$W$28</c:f>
              <c:numCache>
                <c:formatCode>0.00</c:formatCode>
                <c:ptCount val="1"/>
                <c:pt idx="0">
                  <c:v>-16.381183937815877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AD-4F8E-9947-1E7BCC9CD716}"/>
            </c:ext>
          </c:extLst>
        </c:ser>
        <c:ser>
          <c:idx val="3"/>
          <c:order val="3"/>
          <c:tx>
            <c:strRef>
              <c:f>Fe!$U$29</c:f>
              <c:strCache>
                <c:ptCount val="1"/>
                <c:pt idx="0">
                  <c:v>FeS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4.9014670952954004E-2"/>
                  <c:y val="-4.59194287856689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Fe!$V$29</c:f>
              <c:numCache>
                <c:formatCode>0.00</c:formatCode>
                <c:ptCount val="1"/>
                <c:pt idx="0">
                  <c:v>-28.512343040773242</c:v>
                </c:pt>
              </c:numCache>
            </c:numRef>
          </c:xVal>
          <c:yVal>
            <c:numRef>
              <c:f>Fe!$W$29</c:f>
              <c:numCache>
                <c:formatCode>0.00</c:formatCode>
                <c:ptCount val="1"/>
                <c:pt idx="0">
                  <c:v>-16.381183937815877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AD-4F8E-9947-1E7BCC9CD716}"/>
            </c:ext>
          </c:extLst>
        </c:ser>
        <c:ser>
          <c:idx val="4"/>
          <c:order val="4"/>
          <c:tx>
            <c:strRef>
              <c:f>Fe!$U$30</c:f>
              <c:strCache>
                <c:ptCount val="1"/>
                <c:pt idx="0">
                  <c:v>Fe₂O₃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6.5352894603938672E-2"/>
                  <c:y val="8.830659381859400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Fe!$V$8</c:f>
              <c:strCache>
                <c:ptCount val="1"/>
                <c:pt idx="0">
                  <c:v>FeS</c:v>
                </c:pt>
              </c:strCache>
            </c:strRef>
          </c:xVal>
          <c:yVal>
            <c:numRef>
              <c:f>Fe!$W$30</c:f>
              <c:numCache>
                <c:formatCode>0.00</c:formatCode>
                <c:ptCount val="1"/>
                <c:pt idx="0">
                  <c:v>-1.2798187585245344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AD-4F8E-9947-1E7BCC9CD716}"/>
            </c:ext>
          </c:extLst>
        </c:ser>
        <c:ser>
          <c:idx val="5"/>
          <c:order val="5"/>
          <c:tx>
            <c:strRef>
              <c:f>Fe!$U$31</c:f>
              <c:strCache>
                <c:ptCount val="1"/>
                <c:pt idx="0">
                  <c:v>FeSO₄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4470998090872134"/>
                  <c:y val="-4.59194287856689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Fe!$V$31</c:f>
              <c:numCache>
                <c:formatCode>0.00</c:formatCode>
                <c:ptCount val="1"/>
                <c:pt idx="0">
                  <c:v>-6.4956845468942568</c:v>
                </c:pt>
              </c:numCache>
            </c:numRef>
          </c:xVal>
          <c:yVal>
            <c:numRef>
              <c:f>Fe!$W$31</c:f>
              <c:numCache>
                <c:formatCode>0.00</c:formatCode>
                <c:ptCount val="1"/>
                <c:pt idx="0">
                  <c:v>-1.2798187585245344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AD-4F8E-9947-1E7BCC9CD716}"/>
            </c:ext>
          </c:extLst>
        </c:ser>
        <c:ser>
          <c:idx val="6"/>
          <c:order val="6"/>
          <c:tx>
            <c:strRef>
              <c:f>Fe!$U$32</c:f>
              <c:strCache>
                <c:ptCount val="1"/>
                <c:pt idx="0">
                  <c:v>Fe₂(SO₄)₃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1.1670159750703334E-2"/>
                  <c:y val="-8.124206631310659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Fe!$V$32</c:f>
              <c:numCache>
                <c:formatCode>0.00</c:formatCode>
                <c:ptCount val="1"/>
                <c:pt idx="0">
                  <c:v>-6.4956845468942568</c:v>
                </c:pt>
              </c:numCache>
            </c:numRef>
          </c:xVal>
          <c:yVal>
            <c:numRef>
              <c:f>Fe!$W$32</c:f>
              <c:numCache>
                <c:formatCode>0.00</c:formatCode>
                <c:ptCount val="1"/>
                <c:pt idx="0">
                  <c:v>-1.2798187585245344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EAD-4F8E-9947-1E7BCC9CD716}"/>
            </c:ext>
          </c:extLst>
        </c:ser>
        <c:ser>
          <c:idx val="7"/>
          <c:order val="7"/>
          <c:tx>
            <c:strRef>
              <c:f>Fe!$U$33</c:f>
              <c:strCache>
                <c:ptCount val="1"/>
                <c:pt idx="0">
                  <c:v>FeS₂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0503143775633"/>
                  <c:y val="-5.2983956291156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EAD-4F8E-9947-1E7BCC9CD7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Fe!$V$33</c:f>
              <c:numCache>
                <c:formatCode>0.00</c:formatCode>
                <c:ptCount val="1"/>
                <c:pt idx="0">
                  <c:v>-19.981533165391504</c:v>
                </c:pt>
              </c:numCache>
            </c:numRef>
          </c:xVal>
          <c:yVal>
            <c:numRef>
              <c:f>Fe!$W$33</c:f>
              <c:numCache>
                <c:formatCode>0.00</c:formatCode>
                <c:ptCount val="1"/>
                <c:pt idx="0">
                  <c:v>-2.1631674788463116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EAD-4F8E-9947-1E7BCC9CD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802240"/>
        <c:axId val="1331251616"/>
      </c:scatterChart>
      <c:valAx>
        <c:axId val="1326802240"/>
        <c:scaling>
          <c:orientation val="minMax"/>
          <c:max val="10"/>
          <c:min val="-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400">
                    <a:solidFill>
                      <a:schemeClr val="tx1"/>
                    </a:solidFill>
                  </a:rPr>
                  <a:t>log Po</a:t>
                </a:r>
                <a:r>
                  <a:rPr lang="es-PE" sz="1400" baseline="-25000">
                    <a:solidFill>
                      <a:schemeClr val="tx1"/>
                    </a:solidFill>
                  </a:rPr>
                  <a:t>2(g)</a:t>
                </a:r>
                <a:endParaRPr lang="es-PE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251616"/>
        <c:crosses val="autoZero"/>
        <c:crossBetween val="midCat"/>
      </c:valAx>
      <c:valAx>
        <c:axId val="1331251616"/>
        <c:scaling>
          <c:orientation val="minMax"/>
          <c:max val="20"/>
          <c:min val="-4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400">
                    <a:solidFill>
                      <a:schemeClr val="tx1"/>
                    </a:solidFill>
                  </a:rPr>
                  <a:t>log</a:t>
                </a:r>
                <a:r>
                  <a:rPr lang="es-PE" sz="1400" baseline="0">
                    <a:solidFill>
                      <a:schemeClr val="tx1"/>
                    </a:solidFill>
                  </a:rPr>
                  <a:t> Pso</a:t>
                </a:r>
                <a:r>
                  <a:rPr lang="es-PE" sz="1400" baseline="-25000">
                    <a:solidFill>
                      <a:schemeClr val="tx1"/>
                    </a:solidFill>
                  </a:rPr>
                  <a:t>2(g)</a:t>
                </a:r>
                <a:endParaRPr lang="es-PE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802240"/>
        <c:crosses val="autoZero"/>
        <c:crossBetween val="midCat"/>
      </c:valAx>
      <c:spPr>
        <a:noFill/>
        <a:ln>
          <a:solidFill>
            <a:schemeClr val="tx1">
              <a:alpha val="9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L$3" horiz="1" inc="50" max="1500" min="650" page="10" val="8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103910</xdr:colOff>
      <xdr:row>13</xdr:row>
      <xdr:rowOff>34637</xdr:rowOff>
    </xdr:from>
    <xdr:to>
      <xdr:col>6</xdr:col>
      <xdr:colOff>388420</xdr:colOff>
      <xdr:row>14</xdr:row>
      <xdr:rowOff>126184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87637" y="2303319"/>
          <a:ext cx="284510" cy="2733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843468</xdr:colOff>
      <xdr:row>17</xdr:row>
      <xdr:rowOff>38100</xdr:rowOff>
    </xdr:from>
    <xdr:to>
      <xdr:col>2</xdr:col>
      <xdr:colOff>160238</xdr:colOff>
      <xdr:row>18</xdr:row>
      <xdr:rowOff>129647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582608" y="304038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15240</xdr:colOff>
      <xdr:row>14</xdr:row>
      <xdr:rowOff>45720</xdr:rowOff>
    </xdr:from>
    <xdr:to>
      <xdr:col>2</xdr:col>
      <xdr:colOff>299750</xdr:colOff>
      <xdr:row>15</xdr:row>
      <xdr:rowOff>137267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722120" y="249936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241488</xdr:colOff>
      <xdr:row>15</xdr:row>
      <xdr:rowOff>137160</xdr:rowOff>
    </xdr:from>
    <xdr:to>
      <xdr:col>2</xdr:col>
      <xdr:colOff>525998</xdr:colOff>
      <xdr:row>17</xdr:row>
      <xdr:rowOff>45827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948368" y="277368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563880</xdr:colOff>
      <xdr:row>12</xdr:row>
      <xdr:rowOff>114300</xdr:rowOff>
    </xdr:from>
    <xdr:to>
      <xdr:col>2</xdr:col>
      <xdr:colOff>848390</xdr:colOff>
      <xdr:row>14</xdr:row>
      <xdr:rowOff>22967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70760" y="220218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256728</xdr:colOff>
      <xdr:row>11</xdr:row>
      <xdr:rowOff>53340</xdr:rowOff>
    </xdr:from>
    <xdr:to>
      <xdr:col>2</xdr:col>
      <xdr:colOff>541238</xdr:colOff>
      <xdr:row>12</xdr:row>
      <xdr:rowOff>144887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963608" y="195834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114300</xdr:colOff>
      <xdr:row>10</xdr:row>
      <xdr:rowOff>106680</xdr:rowOff>
    </xdr:from>
    <xdr:to>
      <xdr:col>3</xdr:col>
      <xdr:colOff>398810</xdr:colOff>
      <xdr:row>12</xdr:row>
      <xdr:rowOff>15347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2788920" y="182880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30480</xdr:colOff>
      <xdr:row>8</xdr:row>
      <xdr:rowOff>91440</xdr:rowOff>
    </xdr:from>
    <xdr:to>
      <xdr:col>3</xdr:col>
      <xdr:colOff>314990</xdr:colOff>
      <xdr:row>9</xdr:row>
      <xdr:rowOff>167747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05100" y="143256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228600</xdr:colOff>
      <xdr:row>6</xdr:row>
      <xdr:rowOff>15240</xdr:rowOff>
    </xdr:from>
    <xdr:to>
      <xdr:col>3</xdr:col>
      <xdr:colOff>513110</xdr:colOff>
      <xdr:row>7</xdr:row>
      <xdr:rowOff>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903220" y="75438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655320</xdr:colOff>
      <xdr:row>8</xdr:row>
      <xdr:rowOff>76200</xdr:rowOff>
    </xdr:from>
    <xdr:to>
      <xdr:col>4</xdr:col>
      <xdr:colOff>200690</xdr:colOff>
      <xdr:row>9</xdr:row>
      <xdr:rowOff>152507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329940" y="141732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160020</xdr:colOff>
      <xdr:row>11</xdr:row>
      <xdr:rowOff>106680</xdr:rowOff>
    </xdr:from>
    <xdr:to>
      <xdr:col>4</xdr:col>
      <xdr:colOff>444530</xdr:colOff>
      <xdr:row>13</xdr:row>
      <xdr:rowOff>15347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3573780" y="201168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662940</xdr:colOff>
      <xdr:row>11</xdr:row>
      <xdr:rowOff>175260</xdr:rowOff>
    </xdr:from>
    <xdr:to>
      <xdr:col>6</xdr:col>
      <xdr:colOff>208310</xdr:colOff>
      <xdr:row>13</xdr:row>
      <xdr:rowOff>83927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815840" y="2080260"/>
          <a:ext cx="284510" cy="274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16440</xdr:rowOff>
    </xdr:from>
    <xdr:to>
      <xdr:col>5</xdr:col>
      <xdr:colOff>706125</xdr:colOff>
      <xdr:row>19</xdr:row>
      <xdr:rowOff>150565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0</xdr:row>
          <xdr:rowOff>104775</xdr:rowOff>
        </xdr:from>
        <xdr:to>
          <xdr:col>8</xdr:col>
          <xdr:colOff>2524125</xdr:colOff>
          <xdr:row>2</xdr:row>
          <xdr:rowOff>57150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985460</xdr:colOff>
      <xdr:row>3</xdr:row>
      <xdr:rowOff>13607</xdr:rowOff>
    </xdr:from>
    <xdr:ext cx="3259289" cy="1756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012924" y="503464"/>
              <a:ext cx="3259289" cy="1756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Cp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B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∗10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∗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−2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D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−6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012924" y="503464"/>
              <a:ext cx="3259289" cy="1756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Cp=A+B〖∗10〗^(−3)∗T+C∗10^5∗T^(−2)+D∗10^(−6)∗T^2</a:t>
              </a:r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Fallback>
    </mc:AlternateContent>
    <xdr:clientData/>
  </xdr:oneCellAnchor>
  <xdr:oneCellAnchor>
    <xdr:from>
      <xdr:col>27</xdr:col>
      <xdr:colOff>535782</xdr:colOff>
      <xdr:row>8</xdr:row>
      <xdr:rowOff>59531</xdr:rowOff>
    </xdr:from>
    <xdr:ext cx="1194686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0228720" y="1583531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∆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3E60C46-2617-4F20-955F-5310EBF8EB86}"/>
                </a:ext>
              </a:extLst>
            </xdr:cNvPr>
            <xdr:cNvSpPr txBox="1"/>
          </xdr:nvSpPr>
          <xdr:spPr>
            <a:xfrm>
              <a:off x="20228720" y="1583531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〖∆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〗^0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 〖∆𝐻〗^0−〖𝑇∆𝑆〗^0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7AE2A-8321-444F-8113-A1A82E94DFDE}">
  <sheetPr codeName="Hoja1"/>
  <dimension ref="A1:BO1444"/>
  <sheetViews>
    <sheetView showGridLines="0" tabSelected="1" zoomScale="64" zoomScaleNormal="60" workbookViewId="0">
      <selection activeCell="I46" sqref="I46"/>
    </sheetView>
  </sheetViews>
  <sheetFormatPr baseColWidth="10" defaultColWidth="10.7109375" defaultRowHeight="15" x14ac:dyDescent="0.25"/>
  <cols>
    <col min="1" max="1" width="10.7109375" style="3"/>
    <col min="2" max="3" width="14.140625" style="3" bestFit="1" customWidth="1"/>
    <col min="4" max="5" width="13" style="3" bestFit="1" customWidth="1"/>
    <col min="6" max="6" width="14.140625" style="3" bestFit="1" customWidth="1"/>
    <col min="7" max="8" width="10.7109375" style="3"/>
    <col min="9" max="9" width="38.5703125" style="3" bestFit="1" customWidth="1"/>
    <col min="10" max="30" width="12.85546875" style="3" customWidth="1"/>
    <col min="31" max="31" width="18.85546875" style="3" customWidth="1"/>
    <col min="32" max="32" width="15.28515625" style="3" customWidth="1"/>
    <col min="33" max="33" width="14.140625" style="3" bestFit="1" customWidth="1"/>
    <col min="34" max="16384" width="10.7109375" style="3"/>
  </cols>
  <sheetData>
    <row r="1" spans="8:65" ht="13.9" x14ac:dyDescent="0.25">
      <c r="H1" s="1"/>
      <c r="I1" s="2"/>
    </row>
    <row r="2" spans="8:65" ht="16.5" x14ac:dyDescent="0.3">
      <c r="H2" s="4" t="s">
        <v>31</v>
      </c>
      <c r="I2" s="5"/>
      <c r="J2" s="3" t="s">
        <v>32</v>
      </c>
      <c r="L2" s="3">
        <f>L3-273</f>
        <v>527</v>
      </c>
      <c r="N2" s="3" t="s">
        <v>37</v>
      </c>
      <c r="O2" s="3">
        <v>1.9870000000000001</v>
      </c>
      <c r="P2" s="3" t="s">
        <v>23</v>
      </c>
      <c r="Q2" s="3" t="str">
        <f>_xlfn.CONCAT("Predominance area diagrams for the Fe-S-O at ",L3," K")</f>
        <v>Predominance area diagrams for the Fe-S-O at 800 K</v>
      </c>
    </row>
    <row r="3" spans="8:65" ht="13.9" x14ac:dyDescent="0.25">
      <c r="H3" s="6"/>
      <c r="I3" s="7"/>
      <c r="J3" s="3" t="s">
        <v>73</v>
      </c>
      <c r="L3" s="31">
        <v>800</v>
      </c>
    </row>
    <row r="6" spans="8:65" ht="13.9" x14ac:dyDescent="0.25">
      <c r="H6" s="3" t="s">
        <v>112</v>
      </c>
    </row>
    <row r="7" spans="8:65" ht="17.25" customHeight="1" x14ac:dyDescent="0.25">
      <c r="H7" s="169" t="s">
        <v>17</v>
      </c>
      <c r="I7" s="170"/>
      <c r="J7" s="165" t="s">
        <v>72</v>
      </c>
      <c r="K7" s="166"/>
      <c r="L7" s="166"/>
      <c r="M7" s="166"/>
      <c r="N7" s="166"/>
      <c r="O7" s="166"/>
      <c r="P7" s="166"/>
      <c r="Q7" s="166"/>
      <c r="R7" s="167"/>
      <c r="S7" s="165" t="s">
        <v>38</v>
      </c>
      <c r="T7" s="166"/>
      <c r="U7" s="166"/>
      <c r="V7" s="166"/>
      <c r="W7" s="166"/>
      <c r="X7" s="166"/>
      <c r="Y7" s="166"/>
      <c r="Z7" s="166"/>
      <c r="AA7" s="167"/>
      <c r="AB7" s="173" t="s">
        <v>77</v>
      </c>
      <c r="AC7" s="173" t="s">
        <v>88</v>
      </c>
      <c r="AD7" s="79"/>
      <c r="AE7" s="79"/>
    </row>
    <row r="8" spans="8:65" ht="17.25" x14ac:dyDescent="0.3">
      <c r="H8" s="171"/>
      <c r="I8" s="172"/>
      <c r="J8" s="8" t="s">
        <v>0</v>
      </c>
      <c r="K8" s="9" t="s">
        <v>18</v>
      </c>
      <c r="L8" s="9" t="s">
        <v>19</v>
      </c>
      <c r="M8" s="9" t="s">
        <v>16</v>
      </c>
      <c r="N8" s="9" t="s">
        <v>20</v>
      </c>
      <c r="O8" s="9" t="s">
        <v>21</v>
      </c>
      <c r="P8" s="9" t="s">
        <v>22</v>
      </c>
      <c r="Q8" s="9" t="s">
        <v>39</v>
      </c>
      <c r="R8" s="10" t="s">
        <v>40</v>
      </c>
      <c r="S8" s="8" t="s">
        <v>0</v>
      </c>
      <c r="T8" s="9" t="s">
        <v>18</v>
      </c>
      <c r="U8" s="9" t="s">
        <v>19</v>
      </c>
      <c r="V8" s="9" t="s">
        <v>16</v>
      </c>
      <c r="W8" s="9" t="s">
        <v>20</v>
      </c>
      <c r="X8" s="9" t="s">
        <v>21</v>
      </c>
      <c r="Y8" s="9" t="s">
        <v>22</v>
      </c>
      <c r="Z8" s="9" t="s">
        <v>39</v>
      </c>
      <c r="AA8" s="10" t="s">
        <v>40</v>
      </c>
      <c r="AB8" s="174"/>
      <c r="AC8" s="174"/>
      <c r="AD8" s="79"/>
      <c r="AE8" s="79"/>
    </row>
    <row r="9" spans="8:65" ht="16.5" x14ac:dyDescent="0.3">
      <c r="H9" s="11">
        <v>1</v>
      </c>
      <c r="I9" s="5" t="s">
        <v>55</v>
      </c>
      <c r="J9" s="12">
        <v>-1</v>
      </c>
      <c r="K9" s="13">
        <v>0</v>
      </c>
      <c r="L9" s="13">
        <v>0</v>
      </c>
      <c r="M9" s="13">
        <v>1</v>
      </c>
      <c r="N9" s="13">
        <v>0</v>
      </c>
      <c r="O9" s="13">
        <v>0</v>
      </c>
      <c r="P9" s="13">
        <v>0</v>
      </c>
      <c r="Q9" s="13">
        <v>1</v>
      </c>
      <c r="R9" s="14">
        <v>-1</v>
      </c>
      <c r="S9" s="15">
        <f t="shared" ref="S9:S19" si="0">IF(J9&lt;&gt;0,J9*$F$26,0)</f>
        <v>5.2160000000000002</v>
      </c>
      <c r="T9" s="16">
        <f t="shared" ref="T9:T19" si="1">IF(K9&lt;&gt;0,K9*$F$27,0)</f>
        <v>0</v>
      </c>
      <c r="U9" s="16">
        <f t="shared" ref="U9:U19" si="2">IF(L9&lt;&gt;0,L9*$F$28,0)</f>
        <v>0</v>
      </c>
      <c r="V9" s="16">
        <f t="shared" ref="V9:V19" si="3">IF(M9&lt;&gt;0,M9*$F$29,0)</f>
        <v>-40.953557993017782</v>
      </c>
      <c r="W9" s="16">
        <f t="shared" ref="W9:W19" si="4">IF(N9&lt;&gt;0,N9*$F$30,0)</f>
        <v>0</v>
      </c>
      <c r="X9" s="16">
        <f t="shared" ref="X9:X19" si="5">IF(O9&lt;&gt;0,O9*$F$31,0)</f>
        <v>0</v>
      </c>
      <c r="Y9" s="16">
        <f t="shared" ref="Y9:Y19" si="6">IF(P9&lt;&gt;0,P9*$F$32,0)</f>
        <v>0</v>
      </c>
      <c r="Z9" s="16">
        <f t="shared" ref="Z9:Z19" si="7">IF(Q9&lt;&gt;0,Q9*$F$33,0)</f>
        <v>-41.326622436633897</v>
      </c>
      <c r="AA9" s="17">
        <f t="shared" ref="AA9:AA19" si="8">IF(R9&lt;&gt;0,R9*$F$34,0)</f>
        <v>121.47451967432224</v>
      </c>
      <c r="AB9" s="18">
        <f t="shared" ref="AB9:AB19" si="9">SUM(S9:AA9)</f>
        <v>44.410339244670553</v>
      </c>
      <c r="AC9" s="18">
        <f t="shared" ref="AC9:AC19" si="10">-AB9/(2.303*$O$2*$L$3)*1000</f>
        <v>-12.131159102957366</v>
      </c>
      <c r="AD9" s="16"/>
      <c r="AE9" s="16"/>
    </row>
    <row r="10" spans="8:65" ht="16.5" x14ac:dyDescent="0.3">
      <c r="H10" s="11">
        <v>2</v>
      </c>
      <c r="I10" s="19" t="s">
        <v>41</v>
      </c>
      <c r="J10" s="12">
        <v>-3</v>
      </c>
      <c r="K10" s="13">
        <v>1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-2</v>
      </c>
      <c r="R10" s="14">
        <v>0</v>
      </c>
      <c r="S10" s="15">
        <f t="shared" si="0"/>
        <v>15.648</v>
      </c>
      <c r="T10" s="16">
        <f t="shared" si="1"/>
        <v>-307.05999848527398</v>
      </c>
      <c r="U10" s="16">
        <f t="shared" si="2"/>
        <v>0</v>
      </c>
      <c r="V10" s="16">
        <f t="shared" si="3"/>
        <v>0</v>
      </c>
      <c r="W10" s="16">
        <f t="shared" si="4"/>
        <v>0</v>
      </c>
      <c r="X10" s="16">
        <f t="shared" si="5"/>
        <v>0</v>
      </c>
      <c r="Y10" s="16">
        <f t="shared" si="6"/>
        <v>0</v>
      </c>
      <c r="Z10" s="16">
        <f t="shared" si="7"/>
        <v>82.653244873267795</v>
      </c>
      <c r="AA10" s="17">
        <f t="shared" si="8"/>
        <v>0</v>
      </c>
      <c r="AB10" s="18">
        <f t="shared" si="9"/>
        <v>-208.75875361200616</v>
      </c>
      <c r="AC10" s="18">
        <f t="shared" si="10"/>
        <v>57.024686081546484</v>
      </c>
      <c r="AD10" s="16"/>
      <c r="AE10" s="16"/>
      <c r="BG10" s="20"/>
      <c r="BL10" s="21"/>
      <c r="BM10" s="21"/>
    </row>
    <row r="11" spans="8:65" ht="16.5" x14ac:dyDescent="0.3">
      <c r="H11" s="11">
        <v>3</v>
      </c>
      <c r="I11" s="19" t="s">
        <v>42</v>
      </c>
      <c r="J11" s="12">
        <v>0</v>
      </c>
      <c r="K11" s="13">
        <v>1</v>
      </c>
      <c r="L11" s="13">
        <v>0</v>
      </c>
      <c r="M11" s="13">
        <v>-3</v>
      </c>
      <c r="N11" s="13">
        <v>0</v>
      </c>
      <c r="O11" s="13">
        <v>0</v>
      </c>
      <c r="P11" s="13">
        <v>0</v>
      </c>
      <c r="Q11" s="13">
        <v>-5</v>
      </c>
      <c r="R11" s="14">
        <v>3</v>
      </c>
      <c r="S11" s="15">
        <f t="shared" si="0"/>
        <v>0</v>
      </c>
      <c r="T11" s="16">
        <f t="shared" si="1"/>
        <v>-307.05999848527398</v>
      </c>
      <c r="U11" s="16">
        <f t="shared" si="2"/>
        <v>0</v>
      </c>
      <c r="V11" s="16">
        <f t="shared" si="3"/>
        <v>122.86067397905335</v>
      </c>
      <c r="W11" s="16">
        <f t="shared" si="4"/>
        <v>0</v>
      </c>
      <c r="X11" s="16">
        <f t="shared" si="5"/>
        <v>0</v>
      </c>
      <c r="Y11" s="16">
        <f t="shared" si="6"/>
        <v>0</v>
      </c>
      <c r="Z11" s="16">
        <f t="shared" si="7"/>
        <v>206.63311218316949</v>
      </c>
      <c r="AA11" s="17">
        <f t="shared" si="8"/>
        <v>-364.42355902296674</v>
      </c>
      <c r="AB11" s="18">
        <f t="shared" si="9"/>
        <v>-341.9897713460179</v>
      </c>
      <c r="AC11" s="18">
        <f t="shared" si="10"/>
        <v>93.418163390418599</v>
      </c>
      <c r="AD11" s="16"/>
      <c r="AE11" s="16"/>
    </row>
    <row r="12" spans="8:65" ht="16.5" x14ac:dyDescent="0.3">
      <c r="H12" s="11">
        <v>4</v>
      </c>
      <c r="I12" s="19" t="s">
        <v>43</v>
      </c>
      <c r="J12" s="12">
        <v>0</v>
      </c>
      <c r="K12" s="13">
        <v>0</v>
      </c>
      <c r="L12" s="13">
        <v>0</v>
      </c>
      <c r="M12" s="13">
        <v>-1</v>
      </c>
      <c r="N12" s="13">
        <v>1</v>
      </c>
      <c r="O12" s="13">
        <v>0</v>
      </c>
      <c r="P12" s="13">
        <v>0</v>
      </c>
      <c r="Q12" s="13">
        <v>1</v>
      </c>
      <c r="R12" s="14">
        <v>-1</v>
      </c>
      <c r="S12" s="15">
        <f t="shared" si="0"/>
        <v>0</v>
      </c>
      <c r="T12" s="16">
        <f t="shared" si="1"/>
        <v>0</v>
      </c>
      <c r="U12" s="16">
        <f t="shared" si="2"/>
        <v>0</v>
      </c>
      <c r="V12" s="16">
        <f t="shared" si="3"/>
        <v>40.953557993017782</v>
      </c>
      <c r="W12" s="16">
        <f t="shared" ca="1" si="4"/>
        <v>-55.871112589155977</v>
      </c>
      <c r="X12" s="16">
        <f t="shared" si="5"/>
        <v>0</v>
      </c>
      <c r="Y12" s="16">
        <f t="shared" si="6"/>
        <v>0</v>
      </c>
      <c r="Z12" s="16">
        <f t="shared" si="7"/>
        <v>-41.326622436633897</v>
      </c>
      <c r="AA12" s="17">
        <f t="shared" si="8"/>
        <v>121.47451967432224</v>
      </c>
      <c r="AB12" s="18">
        <f t="shared" ca="1" si="9"/>
        <v>65.230342641550152</v>
      </c>
      <c r="AC12" s="18">
        <f t="shared" ca="1" si="10"/>
        <v>-17.818365686545196</v>
      </c>
      <c r="AD12" s="16"/>
      <c r="AE12" s="16"/>
    </row>
    <row r="13" spans="8:65" ht="16.5" x14ac:dyDescent="0.3">
      <c r="H13" s="11">
        <v>5</v>
      </c>
      <c r="I13" s="19" t="s">
        <v>44</v>
      </c>
      <c r="J13" s="12">
        <v>0</v>
      </c>
      <c r="K13" s="13">
        <v>0</v>
      </c>
      <c r="L13" s="13">
        <v>0</v>
      </c>
      <c r="M13" s="13">
        <v>0</v>
      </c>
      <c r="N13" s="13">
        <v>-1</v>
      </c>
      <c r="O13" s="13">
        <v>1</v>
      </c>
      <c r="P13" s="13">
        <v>0</v>
      </c>
      <c r="Q13" s="13">
        <v>-3</v>
      </c>
      <c r="R13" s="14">
        <v>1</v>
      </c>
      <c r="S13" s="15">
        <f t="shared" si="0"/>
        <v>0</v>
      </c>
      <c r="T13" s="16">
        <f t="shared" si="1"/>
        <v>0</v>
      </c>
      <c r="U13" s="16">
        <f t="shared" si="2"/>
        <v>0</v>
      </c>
      <c r="V13" s="16">
        <f t="shared" si="3"/>
        <v>0</v>
      </c>
      <c r="W13" s="16">
        <f t="shared" ca="1" si="4"/>
        <v>55.871112589155977</v>
      </c>
      <c r="X13" s="16">
        <f t="shared" si="5"/>
        <v>-253.37102645735533</v>
      </c>
      <c r="Y13" s="16">
        <f t="shared" si="6"/>
        <v>0</v>
      </c>
      <c r="Z13" s="16">
        <f t="shared" si="7"/>
        <v>123.97986730990169</v>
      </c>
      <c r="AA13" s="17">
        <f t="shared" si="8"/>
        <v>-121.47451967432224</v>
      </c>
      <c r="AB13" s="18">
        <f t="shared" ca="1" si="9"/>
        <v>-194.99456623261989</v>
      </c>
      <c r="AC13" s="18">
        <f t="shared" ca="1" si="10"/>
        <v>53.264851100274853</v>
      </c>
      <c r="AD13" s="16"/>
      <c r="AE13" s="16"/>
      <c r="BL13" s="21"/>
      <c r="BM13" s="21"/>
    </row>
    <row r="14" spans="8:65" ht="16.5" x14ac:dyDescent="0.3">
      <c r="H14" s="11">
        <v>6</v>
      </c>
      <c r="I14" s="19" t="s">
        <v>45</v>
      </c>
      <c r="J14" s="12">
        <v>0</v>
      </c>
      <c r="K14" s="13">
        <v>0</v>
      </c>
      <c r="L14" s="13">
        <v>0</v>
      </c>
      <c r="M14" s="13">
        <v>0</v>
      </c>
      <c r="N14" s="13">
        <v>-2</v>
      </c>
      <c r="O14" s="13">
        <v>0</v>
      </c>
      <c r="P14" s="13">
        <v>1</v>
      </c>
      <c r="Q14" s="13">
        <v>-7</v>
      </c>
      <c r="R14" s="14">
        <v>1</v>
      </c>
      <c r="S14" s="15">
        <f t="shared" si="0"/>
        <v>0</v>
      </c>
      <c r="T14" s="16">
        <f t="shared" si="1"/>
        <v>0</v>
      </c>
      <c r="U14" s="16">
        <f t="shared" si="2"/>
        <v>0</v>
      </c>
      <c r="V14" s="16">
        <f t="shared" si="3"/>
        <v>0</v>
      </c>
      <c r="W14" s="16">
        <f t="shared" ca="1" si="4"/>
        <v>111.74222517831195</v>
      </c>
      <c r="X14" s="16">
        <f t="shared" si="5"/>
        <v>0</v>
      </c>
      <c r="Y14" s="16">
        <f t="shared" si="6"/>
        <v>-698.00813697070521</v>
      </c>
      <c r="Z14" s="16">
        <f t="shared" si="7"/>
        <v>289.28635705643728</v>
      </c>
      <c r="AA14" s="17">
        <f t="shared" si="8"/>
        <v>-121.47451967432224</v>
      </c>
      <c r="AB14" s="18">
        <f t="shared" ca="1" si="9"/>
        <v>-418.45407441027817</v>
      </c>
      <c r="AC14" s="18">
        <f t="shared" ca="1" si="10"/>
        <v>114.3052055059685</v>
      </c>
      <c r="AD14" s="16"/>
      <c r="AE14" s="16"/>
    </row>
    <row r="15" spans="8:65" ht="16.5" x14ac:dyDescent="0.3">
      <c r="H15" s="11">
        <v>7</v>
      </c>
      <c r="I15" s="19" t="s">
        <v>46</v>
      </c>
      <c r="J15" s="12">
        <v>0</v>
      </c>
      <c r="K15" s="13">
        <v>-1</v>
      </c>
      <c r="L15" s="13">
        <v>0</v>
      </c>
      <c r="M15" s="13">
        <v>0</v>
      </c>
      <c r="N15" s="13">
        <v>0</v>
      </c>
      <c r="O15" s="13">
        <v>3</v>
      </c>
      <c r="P15" s="13">
        <v>0</v>
      </c>
      <c r="Q15" s="13">
        <v>-1</v>
      </c>
      <c r="R15" s="14">
        <v>-3</v>
      </c>
      <c r="S15" s="15">
        <f t="shared" si="0"/>
        <v>0</v>
      </c>
      <c r="T15" s="16">
        <f t="shared" si="1"/>
        <v>307.05999848527398</v>
      </c>
      <c r="U15" s="16">
        <f t="shared" si="2"/>
        <v>0</v>
      </c>
      <c r="V15" s="16">
        <f t="shared" si="3"/>
        <v>0</v>
      </c>
      <c r="W15" s="16">
        <f t="shared" si="4"/>
        <v>0</v>
      </c>
      <c r="X15" s="16">
        <f t="shared" si="5"/>
        <v>-760.11307937206595</v>
      </c>
      <c r="Y15" s="16">
        <f t="shared" si="6"/>
        <v>0</v>
      </c>
      <c r="Z15" s="16">
        <f t="shared" si="7"/>
        <v>41.326622436633897</v>
      </c>
      <c r="AA15" s="17">
        <f t="shared" si="8"/>
        <v>364.42355902296674</v>
      </c>
      <c r="AB15" s="18">
        <f t="shared" si="9"/>
        <v>-47.302899427191335</v>
      </c>
      <c r="AC15" s="18">
        <f t="shared" si="10"/>
        <v>12.921292850770381</v>
      </c>
      <c r="AD15" s="16"/>
      <c r="AE15" s="16"/>
    </row>
    <row r="16" spans="8:65" x14ac:dyDescent="0.25">
      <c r="H16" s="11">
        <v>8</v>
      </c>
      <c r="I16" s="19" t="s">
        <v>25</v>
      </c>
      <c r="J16" s="12">
        <v>0</v>
      </c>
      <c r="K16" s="13">
        <v>4</v>
      </c>
      <c r="L16" s="13">
        <v>-6</v>
      </c>
      <c r="M16" s="13">
        <v>0</v>
      </c>
      <c r="N16" s="13">
        <v>0</v>
      </c>
      <c r="O16" s="13">
        <v>0</v>
      </c>
      <c r="P16" s="13">
        <v>0</v>
      </c>
      <c r="Q16" s="13">
        <v>1</v>
      </c>
      <c r="R16" s="14">
        <v>0</v>
      </c>
      <c r="S16" s="15">
        <f t="shared" si="0"/>
        <v>0</v>
      </c>
      <c r="T16" s="16">
        <f t="shared" si="1"/>
        <v>-1228.2399939410959</v>
      </c>
      <c r="U16" s="16">
        <f t="shared" si="2"/>
        <v>1331.2163815541214</v>
      </c>
      <c r="V16" s="16">
        <f t="shared" si="3"/>
        <v>0</v>
      </c>
      <c r="W16" s="16">
        <f t="shared" si="4"/>
        <v>0</v>
      </c>
      <c r="X16" s="16">
        <f t="shared" si="5"/>
        <v>0</v>
      </c>
      <c r="Y16" s="16">
        <f t="shared" si="6"/>
        <v>0</v>
      </c>
      <c r="Z16" s="16">
        <f t="shared" si="7"/>
        <v>-41.326622436633897</v>
      </c>
      <c r="AA16" s="17">
        <f t="shared" si="8"/>
        <v>0</v>
      </c>
      <c r="AB16" s="18">
        <f t="shared" si="9"/>
        <v>61.649765176391611</v>
      </c>
      <c r="AC16" s="18">
        <f t="shared" si="10"/>
        <v>-16.840292660104293</v>
      </c>
      <c r="AD16" s="16"/>
      <c r="AE16" s="16"/>
      <c r="BL16" s="21"/>
      <c r="BM16" s="21"/>
    </row>
    <row r="17" spans="1:67" ht="16.5" x14ac:dyDescent="0.3">
      <c r="H17" s="11">
        <v>9</v>
      </c>
      <c r="I17" s="19" t="s">
        <v>47</v>
      </c>
      <c r="J17" s="12">
        <v>0</v>
      </c>
      <c r="K17" s="13">
        <v>0</v>
      </c>
      <c r="L17" s="13">
        <v>0</v>
      </c>
      <c r="M17" s="13">
        <v>0</v>
      </c>
      <c r="N17" s="13">
        <v>0</v>
      </c>
      <c r="O17" s="13">
        <v>-2</v>
      </c>
      <c r="P17" s="13">
        <v>1</v>
      </c>
      <c r="Q17" s="13">
        <v>-1</v>
      </c>
      <c r="R17" s="14">
        <v>-1</v>
      </c>
      <c r="S17" s="15">
        <f t="shared" si="0"/>
        <v>0</v>
      </c>
      <c r="T17" s="16">
        <f t="shared" si="1"/>
        <v>0</v>
      </c>
      <c r="U17" s="16">
        <f t="shared" si="2"/>
        <v>0</v>
      </c>
      <c r="V17" s="16">
        <f t="shared" si="3"/>
        <v>0</v>
      </c>
      <c r="W17" s="16">
        <f t="shared" si="4"/>
        <v>0</v>
      </c>
      <c r="X17" s="16">
        <f t="shared" si="5"/>
        <v>506.74205291471065</v>
      </c>
      <c r="Y17" s="16">
        <f t="shared" si="6"/>
        <v>-698.00813697070521</v>
      </c>
      <c r="Z17" s="16">
        <f t="shared" si="7"/>
        <v>41.326622436633897</v>
      </c>
      <c r="AA17" s="17">
        <f t="shared" si="8"/>
        <v>121.47451967432224</v>
      </c>
      <c r="AB17" s="18">
        <f t="shared" si="9"/>
        <v>-28.464941945038419</v>
      </c>
      <c r="AC17" s="18">
        <f t="shared" si="10"/>
        <v>7.7755033054187912</v>
      </c>
      <c r="AD17" s="16"/>
      <c r="AE17" s="16"/>
    </row>
    <row r="18" spans="1:67" ht="16.5" x14ac:dyDescent="0.3">
      <c r="H18" s="11">
        <v>10</v>
      </c>
      <c r="I18" s="19" t="s">
        <v>56</v>
      </c>
      <c r="J18" s="12">
        <v>0</v>
      </c>
      <c r="K18" s="13">
        <v>0</v>
      </c>
      <c r="L18" s="13">
        <v>-0.5</v>
      </c>
      <c r="M18" s="13">
        <v>0</v>
      </c>
      <c r="N18" s="13">
        <v>0</v>
      </c>
      <c r="O18" s="13">
        <v>1</v>
      </c>
      <c r="P18" s="13">
        <v>0</v>
      </c>
      <c r="Q18" s="13">
        <v>-0.25</v>
      </c>
      <c r="R18" s="14">
        <v>1</v>
      </c>
      <c r="S18" s="15">
        <f t="shared" si="0"/>
        <v>0</v>
      </c>
      <c r="T18" s="16">
        <f t="shared" si="1"/>
        <v>0</v>
      </c>
      <c r="U18" s="16">
        <f t="shared" si="2"/>
        <v>110.93469846284346</v>
      </c>
      <c r="V18" s="16">
        <f t="shared" si="3"/>
        <v>0</v>
      </c>
      <c r="W18" s="16">
        <f t="shared" si="4"/>
        <v>0</v>
      </c>
      <c r="X18" s="16">
        <f t="shared" si="5"/>
        <v>-253.37102645735533</v>
      </c>
      <c r="Y18" s="16">
        <f t="shared" si="6"/>
        <v>0</v>
      </c>
      <c r="Z18" s="16">
        <f t="shared" si="7"/>
        <v>10.331655609158474</v>
      </c>
      <c r="AA18" s="17">
        <f t="shared" si="8"/>
        <v>-121.47451967432224</v>
      </c>
      <c r="AB18" s="18">
        <f t="shared" si="9"/>
        <v>-253.57919205967565</v>
      </c>
      <c r="AC18" s="18">
        <f t="shared" si="10"/>
        <v>69.267868167534161</v>
      </c>
      <c r="AD18" s="16"/>
      <c r="AE18" s="16"/>
    </row>
    <row r="19" spans="1:67" ht="16.5" x14ac:dyDescent="0.3">
      <c r="H19" s="22">
        <v>11</v>
      </c>
      <c r="I19" s="7" t="s">
        <v>48</v>
      </c>
      <c r="J19" s="23">
        <v>0</v>
      </c>
      <c r="K19" s="24">
        <v>0</v>
      </c>
      <c r="L19" s="24">
        <v>-1</v>
      </c>
      <c r="M19" s="24">
        <v>0</v>
      </c>
      <c r="N19" s="24">
        <v>0</v>
      </c>
      <c r="O19" s="24">
        <v>0</v>
      </c>
      <c r="P19" s="24">
        <v>1</v>
      </c>
      <c r="Q19" s="24">
        <v>-1.5</v>
      </c>
      <c r="R19" s="25">
        <v>-3</v>
      </c>
      <c r="S19" s="26">
        <f t="shared" si="0"/>
        <v>0</v>
      </c>
      <c r="T19" s="27">
        <f t="shared" si="1"/>
        <v>0</v>
      </c>
      <c r="U19" s="27">
        <f t="shared" si="2"/>
        <v>221.86939692568691</v>
      </c>
      <c r="V19" s="27">
        <f t="shared" si="3"/>
        <v>0</v>
      </c>
      <c r="W19" s="27">
        <f t="shared" si="4"/>
        <v>0</v>
      </c>
      <c r="X19" s="27">
        <f t="shared" si="5"/>
        <v>0</v>
      </c>
      <c r="Y19" s="27">
        <f t="shared" si="6"/>
        <v>-698.00813697070521</v>
      </c>
      <c r="Z19" s="27">
        <f t="shared" si="7"/>
        <v>61.989933654950846</v>
      </c>
      <c r="AA19" s="28">
        <f t="shared" si="8"/>
        <v>364.42355902296674</v>
      </c>
      <c r="AB19" s="29">
        <f t="shared" si="9"/>
        <v>-49.725247367100678</v>
      </c>
      <c r="AC19" s="29">
        <f t="shared" si="10"/>
        <v>13.58298309591499</v>
      </c>
      <c r="AD19" s="16"/>
      <c r="AE19" s="16"/>
      <c r="BL19" s="21"/>
      <c r="BM19" s="21"/>
    </row>
    <row r="20" spans="1:67" ht="13.9" x14ac:dyDescent="0.25">
      <c r="H20" s="3">
        <v>1</v>
      </c>
      <c r="I20" s="3">
        <v>2</v>
      </c>
      <c r="J20" s="3">
        <v>3</v>
      </c>
      <c r="K20" s="3">
        <v>4</v>
      </c>
      <c r="L20" s="3">
        <v>5</v>
      </c>
      <c r="M20" s="3">
        <v>6</v>
      </c>
      <c r="N20" s="3">
        <v>7</v>
      </c>
      <c r="O20" s="3">
        <v>8</v>
      </c>
      <c r="P20" s="3">
        <v>9</v>
      </c>
      <c r="Q20" s="3">
        <v>10</v>
      </c>
      <c r="R20" s="3">
        <v>11</v>
      </c>
      <c r="S20" s="3">
        <v>12</v>
      </c>
      <c r="T20" s="3">
        <v>13</v>
      </c>
      <c r="U20" s="3">
        <v>14</v>
      </c>
      <c r="V20" s="3">
        <v>15</v>
      </c>
      <c r="W20" s="3">
        <v>16</v>
      </c>
      <c r="X20" s="3">
        <v>17</v>
      </c>
      <c r="Y20" s="3">
        <v>18</v>
      </c>
      <c r="Z20" s="3">
        <v>19</v>
      </c>
      <c r="AA20" s="3">
        <v>20</v>
      </c>
      <c r="AB20" s="3">
        <v>21</v>
      </c>
      <c r="AC20" s="3">
        <v>22</v>
      </c>
      <c r="AD20" s="30"/>
      <c r="AE20" s="30"/>
      <c r="AF20" s="30"/>
      <c r="AG20" s="30"/>
      <c r="BL20" s="21"/>
      <c r="BM20" s="21"/>
    </row>
    <row r="21" spans="1:67" ht="13.9" x14ac:dyDescent="0.25">
      <c r="J21" s="30"/>
      <c r="K21" s="30"/>
      <c r="L21" s="30"/>
      <c r="M21" s="30"/>
      <c r="N21" s="30"/>
      <c r="O21" s="30"/>
      <c r="P21" s="30"/>
      <c r="Q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</row>
    <row r="22" spans="1:67" ht="13.9" x14ac:dyDescent="0.25">
      <c r="J22" s="30"/>
      <c r="K22" s="30"/>
      <c r="L22" s="30"/>
      <c r="M22" s="30"/>
      <c r="N22" s="30"/>
      <c r="O22" s="30"/>
      <c r="P22" s="30"/>
      <c r="Q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</row>
    <row r="23" spans="1:67" ht="13.9" x14ac:dyDescent="0.25">
      <c r="J23" s="30"/>
      <c r="K23" s="30"/>
      <c r="L23" s="30"/>
      <c r="M23" s="30"/>
      <c r="N23" s="30"/>
      <c r="O23" s="30"/>
      <c r="P23" s="30"/>
      <c r="Q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</row>
    <row r="24" spans="1:67" ht="13.9" x14ac:dyDescent="0.25">
      <c r="A24" s="31" t="s">
        <v>49</v>
      </c>
      <c r="H24" s="3" t="s">
        <v>50</v>
      </c>
      <c r="M24" s="30"/>
      <c r="N24" s="30"/>
      <c r="O24" s="30"/>
      <c r="P24" s="30"/>
      <c r="R24" s="3" t="s">
        <v>51</v>
      </c>
      <c r="U24" s="3" t="s">
        <v>52</v>
      </c>
      <c r="Y24" s="3" t="s">
        <v>53</v>
      </c>
      <c r="AC24" s="3" t="s">
        <v>54</v>
      </c>
      <c r="BL24" s="21"/>
      <c r="BM24" s="21"/>
      <c r="BN24" s="21"/>
      <c r="BO24" s="21"/>
    </row>
    <row r="25" spans="1:67" ht="17.25" x14ac:dyDescent="0.3">
      <c r="A25" s="80" t="s">
        <v>28</v>
      </c>
      <c r="B25" s="81" t="s">
        <v>27</v>
      </c>
      <c r="C25" s="156" t="s">
        <v>1</v>
      </c>
      <c r="D25" s="157" t="s">
        <v>74</v>
      </c>
      <c r="E25" s="157" t="s">
        <v>75</v>
      </c>
      <c r="F25" s="158" t="s">
        <v>76</v>
      </c>
      <c r="H25" s="80" t="s">
        <v>113</v>
      </c>
      <c r="I25" s="149" t="s">
        <v>24</v>
      </c>
      <c r="J25" s="150"/>
      <c r="K25" s="150"/>
      <c r="L25" s="150"/>
      <c r="M25" s="150"/>
      <c r="N25" s="81" t="s">
        <v>86</v>
      </c>
      <c r="O25" s="81" t="s">
        <v>87</v>
      </c>
      <c r="P25" s="84" t="s">
        <v>88</v>
      </c>
      <c r="R25" s="163" t="s">
        <v>26</v>
      </c>
      <c r="S25" s="164"/>
      <c r="U25" s="165" t="s">
        <v>29</v>
      </c>
      <c r="V25" s="166"/>
      <c r="W25" s="167"/>
      <c r="Y25" s="165" t="s">
        <v>30</v>
      </c>
      <c r="Z25" s="166"/>
      <c r="AA25" s="167"/>
      <c r="AC25" s="32" t="s">
        <v>113</v>
      </c>
      <c r="AD25" s="33"/>
      <c r="AE25" s="33"/>
      <c r="AF25" s="34" t="s">
        <v>90</v>
      </c>
      <c r="AG25" s="155" t="s">
        <v>91</v>
      </c>
      <c r="AM25" s="36"/>
      <c r="AR25" s="31"/>
      <c r="AS25" s="31"/>
      <c r="BG25" s="160"/>
      <c r="BH25" s="21"/>
      <c r="BI25" s="21"/>
      <c r="BK25" s="21"/>
      <c r="BL25" s="21"/>
    </row>
    <row r="26" spans="1:67" ht="16.5" x14ac:dyDescent="0.3">
      <c r="A26" s="82">
        <v>1</v>
      </c>
      <c r="B26" s="13" t="s">
        <v>0</v>
      </c>
      <c r="C26" s="83">
        <f>VLOOKUP($B26,'Fe calculations'!$Y$13:$AC$51,2,FALSE)</f>
        <v>9.3434087500000089</v>
      </c>
      <c r="D26" s="83">
        <f>VLOOKUP($B26,'Fe calculations'!$Y$13:$AC$51,3,FALSE)</f>
        <v>0</v>
      </c>
      <c r="E26" s="83">
        <f>VLOOKUP($B26,'Fe calculations'!$Y$13:$AC$51,4,FALSE)</f>
        <v>6.5199999999999998E-3</v>
      </c>
      <c r="F26" s="53">
        <f>VLOOKUP($B26,'Fe calculations'!$Y$13:$AC$51,5,FALSE)</f>
        <v>-5.2160000000000002</v>
      </c>
      <c r="H26" s="69">
        <v>1</v>
      </c>
      <c r="I26" s="70" t="str">
        <f>VLOOKUP(H26,$H$9:$I$19,2,FALSE)</f>
        <v>Fe + SO₂(g) = FeS + O₂(g)</v>
      </c>
      <c r="J26" s="71"/>
      <c r="K26" s="161" t="s">
        <v>101</v>
      </c>
      <c r="L26" s="161"/>
      <c r="M26" s="161"/>
      <c r="N26" s="37">
        <v>1</v>
      </c>
      <c r="O26" s="37">
        <v>-1</v>
      </c>
      <c r="P26" s="108">
        <f>VLOOKUP(H26,$H$9:$AC$19,22,FALSE)</f>
        <v>-12.131159102957366</v>
      </c>
      <c r="R26" s="38" t="s">
        <v>110</v>
      </c>
      <c r="S26" s="39">
        <f t="array" ref="S26:S27">MMULT(MINVERSE(N26:O27),P26:P27)</f>
        <v>-28.512343040773242</v>
      </c>
      <c r="T26" s="30"/>
      <c r="U26" s="8" t="s">
        <v>27</v>
      </c>
      <c r="V26" s="34" t="s">
        <v>89</v>
      </c>
      <c r="W26" s="35" t="s">
        <v>87</v>
      </c>
      <c r="Y26" s="40"/>
      <c r="Z26" s="34" t="s">
        <v>89</v>
      </c>
      <c r="AA26" s="35" t="s">
        <v>87</v>
      </c>
      <c r="AC26" s="41">
        <v>1</v>
      </c>
      <c r="AD26" s="30" t="s">
        <v>92</v>
      </c>
      <c r="AE26" s="37"/>
      <c r="AF26" s="42">
        <f>Z28</f>
        <v>-40</v>
      </c>
      <c r="AG26" s="43">
        <f>AF26-$AC$9</f>
        <v>-27.868840897042634</v>
      </c>
      <c r="AM26" s="36"/>
      <c r="AO26" s="44"/>
      <c r="AP26" s="45"/>
      <c r="AQ26" s="160"/>
      <c r="BG26" s="160"/>
      <c r="BI26" s="21"/>
    </row>
    <row r="27" spans="1:67" ht="16.5" x14ac:dyDescent="0.3">
      <c r="A27" s="72">
        <v>2</v>
      </c>
      <c r="B27" s="82" t="s">
        <v>18</v>
      </c>
      <c r="C27" s="83">
        <f>VLOOKUP($B27,'Fe calculations'!$Y$13:$AC$51,2,FALSE)</f>
        <v>64.511978749999955</v>
      </c>
      <c r="D27" s="83">
        <f>VLOOKUP($B27,'Fe calculations'!$Y$13:$AC$51,3,FALSE)</f>
        <v>-242.23928245824843</v>
      </c>
      <c r="E27" s="83">
        <f>VLOOKUP($B27,'Fe calculations'!$Y$13:$AC$51,4,FALSE)</f>
        <v>8.1025895033781964E-2</v>
      </c>
      <c r="F27" s="53">
        <f>VLOOKUP($B27,'Fe calculations'!$Y$13:$AC$51,5,FALSE)</f>
        <v>-307.05999848527398</v>
      </c>
      <c r="H27" s="73">
        <v>2</v>
      </c>
      <c r="I27" s="74" t="str">
        <f t="shared" ref="I27:I35" si="11">VLOOKUP(H27,$H$9:$I$19,2,FALSE)</f>
        <v>3Fe + 2O₂(g) = Fe₃O₄</v>
      </c>
      <c r="J27" s="75"/>
      <c r="K27" s="162" t="s">
        <v>102</v>
      </c>
      <c r="L27" s="162"/>
      <c r="M27" s="162"/>
      <c r="N27" s="24">
        <v>-2</v>
      </c>
      <c r="O27" s="24">
        <v>0</v>
      </c>
      <c r="P27" s="58">
        <f t="shared" ref="P27:P35" si="12">VLOOKUP(H27,$H$9:$AC$19,22,FALSE)</f>
        <v>57.024686081546484</v>
      </c>
      <c r="R27" s="46" t="s">
        <v>111</v>
      </c>
      <c r="S27" s="47">
        <v>-16.381183937815877</v>
      </c>
      <c r="T27" s="30"/>
      <c r="U27" s="48" t="s">
        <v>0</v>
      </c>
      <c r="V27" s="49">
        <f>S26</f>
        <v>-28.512343040773242</v>
      </c>
      <c r="W27" s="50">
        <f>S27</f>
        <v>-16.381183937815877</v>
      </c>
      <c r="Y27" s="1" t="s">
        <v>4</v>
      </c>
      <c r="Z27" s="51">
        <v>10</v>
      </c>
      <c r="AA27" s="2">
        <v>20</v>
      </c>
      <c r="AC27" s="12"/>
      <c r="AD27" s="13"/>
      <c r="AE27" s="13"/>
      <c r="AF27" s="21">
        <f>S26</f>
        <v>-28.512343040773242</v>
      </c>
      <c r="AG27" s="52">
        <f>AF27-$AC$9</f>
        <v>-16.381183937815877</v>
      </c>
      <c r="AM27" s="36"/>
      <c r="AO27" s="44"/>
      <c r="AQ27" s="160"/>
      <c r="BH27" s="21"/>
      <c r="BI27" s="21"/>
      <c r="BK27" s="21"/>
      <c r="BL27" s="21"/>
      <c r="BM27" s="21"/>
      <c r="BN27" s="21"/>
    </row>
    <row r="28" spans="1:67" ht="16.5" x14ac:dyDescent="0.3">
      <c r="A28" s="72">
        <v>3</v>
      </c>
      <c r="B28" s="82" t="s">
        <v>19</v>
      </c>
      <c r="C28" s="83">
        <f>VLOOKUP($B28,'Fe calculations'!$Y$13:$AC$51,2,FALSE)</f>
        <v>37.306096249999989</v>
      </c>
      <c r="D28" s="83">
        <f>VLOOKUP($B28,'Fe calculations'!$Y$13:$AC$51,3,FALSE)</f>
        <v>-180.67515120530271</v>
      </c>
      <c r="E28" s="83">
        <f>VLOOKUP($B28,'Fe calculations'!$Y$13:$AC$51,4,FALSE)</f>
        <v>5.1492807150480248E-2</v>
      </c>
      <c r="F28" s="53">
        <f>VLOOKUP($B28,'Fe calculations'!$Y$13:$AC$51,5,FALSE)</f>
        <v>-221.86939692568691</v>
      </c>
      <c r="H28" s="41">
        <v>3</v>
      </c>
      <c r="I28" s="70" t="str">
        <f t="shared" si="11"/>
        <v>3FeS + 5O₂(g) = Fe₃O₄ + 3SO₂(g)</v>
      </c>
      <c r="J28" s="71"/>
      <c r="K28" s="161" t="s">
        <v>103</v>
      </c>
      <c r="L28" s="161"/>
      <c r="M28" s="161"/>
      <c r="N28" s="37">
        <v>-5</v>
      </c>
      <c r="O28" s="37">
        <v>3</v>
      </c>
      <c r="P28" s="108">
        <f t="shared" si="12"/>
        <v>93.418163390418599</v>
      </c>
      <c r="R28" s="38" t="s">
        <v>110</v>
      </c>
      <c r="S28" s="39" cm="1">
        <f t="array" aca="1" ref="S28:S29" ca="1">MMULT(MINVERSE(N28:O29),P28:P29)</f>
        <v>-19.981533165391504</v>
      </c>
      <c r="T28" s="30"/>
      <c r="U28" s="54" t="s">
        <v>18</v>
      </c>
      <c r="V28" s="16">
        <f>V27</f>
        <v>-28.512343040773242</v>
      </c>
      <c r="W28" s="17">
        <f>W27</f>
        <v>-16.381183937815877</v>
      </c>
      <c r="Y28" s="6" t="s">
        <v>5</v>
      </c>
      <c r="Z28" s="55">
        <v>-40</v>
      </c>
      <c r="AA28" s="7">
        <v>-40</v>
      </c>
      <c r="AC28" s="12"/>
      <c r="AD28" s="13"/>
      <c r="AE28" s="13"/>
      <c r="AF28" s="21"/>
      <c r="AG28" s="52"/>
      <c r="AM28" s="36"/>
      <c r="AO28" s="44"/>
      <c r="AP28" s="45"/>
      <c r="BG28" s="160"/>
      <c r="BH28" s="21"/>
      <c r="BI28" s="21"/>
      <c r="BK28" s="21"/>
      <c r="BL28" s="21"/>
    </row>
    <row r="29" spans="1:67" ht="16.5" x14ac:dyDescent="0.3">
      <c r="A29" s="72">
        <v>4</v>
      </c>
      <c r="B29" s="82" t="s">
        <v>16</v>
      </c>
      <c r="C29" s="83">
        <f>VLOOKUP($B29,'Fe calculations'!$Y$13:$AC$51,2,FALSE)</f>
        <v>13.994816250000001</v>
      </c>
      <c r="D29" s="83">
        <f>VLOOKUP($B29,'Fe calculations'!$Y$13:$AC$51,3,FALSE)</f>
        <v>-15.807753922559542</v>
      </c>
      <c r="E29" s="83">
        <f>VLOOKUP($B29,'Fe calculations'!$Y$13:$AC$51,4,FALSE)</f>
        <v>3.1432255088072805E-2</v>
      </c>
      <c r="F29" s="53">
        <f>VLOOKUP($B29,'Fe calculations'!$Y$13:$AC$51,5,FALSE)</f>
        <v>-40.953557993017782</v>
      </c>
      <c r="H29" s="22">
        <v>4</v>
      </c>
      <c r="I29" s="74" t="str">
        <f t="shared" si="11"/>
        <v>FeS + SO₂(g) = FeS₂ + O₂(g)</v>
      </c>
      <c r="J29" s="55"/>
      <c r="K29" s="162" t="s">
        <v>101</v>
      </c>
      <c r="L29" s="162"/>
      <c r="M29" s="162"/>
      <c r="N29" s="24">
        <v>1</v>
      </c>
      <c r="O29" s="24">
        <v>-1</v>
      </c>
      <c r="P29" s="58">
        <f t="shared" ca="1" si="12"/>
        <v>-17.818365686545196</v>
      </c>
      <c r="R29" s="46" t="s">
        <v>111</v>
      </c>
      <c r="S29" s="47">
        <f ca="1"/>
        <v>-2.1631674788463116</v>
      </c>
      <c r="T29" s="30"/>
      <c r="U29" s="54" t="s">
        <v>16</v>
      </c>
      <c r="V29" s="16">
        <f>V28</f>
        <v>-28.512343040773242</v>
      </c>
      <c r="W29" s="17">
        <f>W28</f>
        <v>-16.381183937815877</v>
      </c>
      <c r="Z29" s="21"/>
      <c r="AC29" s="12">
        <v>2</v>
      </c>
      <c r="AD29" s="30" t="s">
        <v>93</v>
      </c>
      <c r="AE29" s="13"/>
      <c r="AF29" s="21">
        <f>-$AC$10/2</f>
        <v>-28.512343040773242</v>
      </c>
      <c r="AG29" s="52">
        <f>AA28</f>
        <v>-40</v>
      </c>
      <c r="AM29" s="36"/>
      <c r="AQ29" s="160"/>
      <c r="BG29" s="160"/>
      <c r="BH29" s="21"/>
      <c r="BI29" s="21"/>
    </row>
    <row r="30" spans="1:67" ht="16.5" x14ac:dyDescent="0.3">
      <c r="A30" s="72">
        <v>5</v>
      </c>
      <c r="B30" s="82" t="s">
        <v>20</v>
      </c>
      <c r="C30" s="83">
        <f ca="1">VLOOKUP($B30,'Fe calculations'!$Y$13:$AC$51,2,FALSE)</f>
        <v>18.566281249999999</v>
      </c>
      <c r="D30" s="83">
        <f ca="1">VLOOKUP($B30,'Fe calculations'!$Y$13:$AC$51,3,FALSE)</f>
        <v>-32.298304832604998</v>
      </c>
      <c r="E30" s="83">
        <f ca="1">VLOOKUP($B30,'Fe calculations'!$Y$13:$AC$51,4,FALSE)</f>
        <v>2.9466009695688723E-2</v>
      </c>
      <c r="F30" s="53">
        <f ca="1">VLOOKUP($B30,'Fe calculations'!$Y$13:$AC$51,5,FALSE)</f>
        <v>-55.871112589155977</v>
      </c>
      <c r="H30" s="41">
        <v>5</v>
      </c>
      <c r="I30" s="70" t="str">
        <f t="shared" si="11"/>
        <v>FeS₂ + 3O₂(g) = FeSO₄ + SO₂(g)</v>
      </c>
      <c r="J30" s="51"/>
      <c r="K30" s="161" t="s">
        <v>104</v>
      </c>
      <c r="L30" s="161"/>
      <c r="M30" s="161"/>
      <c r="N30" s="37">
        <v>-3</v>
      </c>
      <c r="O30" s="37">
        <v>1</v>
      </c>
      <c r="P30" s="108">
        <f t="shared" ca="1" si="12"/>
        <v>53.264851100274853</v>
      </c>
      <c r="R30" s="38" t="s">
        <v>110</v>
      </c>
      <c r="S30" s="39" cm="1">
        <f t="array" aca="1" ref="S30:S31" ca="1">MMULT(MINVERSE(N30:O31),P30:P31)</f>
        <v>-15.260088601423412</v>
      </c>
      <c r="T30" s="30"/>
      <c r="U30" s="54" t="s">
        <v>19</v>
      </c>
      <c r="V30" s="16">
        <f>S34</f>
        <v>-6.4956845468942568</v>
      </c>
      <c r="W30" s="17">
        <f>S35</f>
        <v>-1.2798187585245344</v>
      </c>
      <c r="Z30" s="21"/>
      <c r="AC30" s="12"/>
      <c r="AD30" s="13"/>
      <c r="AE30" s="13"/>
      <c r="AF30" s="21">
        <f>-$AC$10/2</f>
        <v>-28.512343040773242</v>
      </c>
      <c r="AG30" s="52">
        <f>S27</f>
        <v>-16.381183937815877</v>
      </c>
      <c r="AM30" s="36"/>
      <c r="AQ30" s="160"/>
      <c r="BH30" s="21"/>
      <c r="BI30" s="21"/>
      <c r="BK30" s="21"/>
      <c r="BL30" s="21"/>
    </row>
    <row r="31" spans="1:67" ht="16.5" x14ac:dyDescent="0.3">
      <c r="A31" s="72">
        <v>6</v>
      </c>
      <c r="B31" s="82" t="s">
        <v>21</v>
      </c>
      <c r="C31" s="83">
        <f>VLOOKUP($B31,'Fe calculations'!$Y$13:$AC$51,2,FALSE)</f>
        <v>35.712207500000005</v>
      </c>
      <c r="D31" s="83">
        <f>VLOOKUP($B31,'Fe calculations'!$Y$13:$AC$51,3,FALSE)</f>
        <v>-206.30740970885736</v>
      </c>
      <c r="E31" s="83">
        <f>VLOOKUP($B31,'Fe calculations'!$Y$13:$AC$51,4,FALSE)</f>
        <v>5.8829520935622451E-2</v>
      </c>
      <c r="F31" s="53">
        <f>VLOOKUP($B31,'Fe calculations'!$Y$13:$AC$51,5,FALSE)</f>
        <v>-253.37102645735533</v>
      </c>
      <c r="H31" s="23">
        <v>6</v>
      </c>
      <c r="I31" s="74" t="str">
        <f t="shared" si="11"/>
        <v>2FeS₂ + 7O₂(g) = Fe₂(SO₄)₃ + SO₂(g)</v>
      </c>
      <c r="J31" s="55"/>
      <c r="K31" s="162" t="s">
        <v>105</v>
      </c>
      <c r="L31" s="162"/>
      <c r="M31" s="162"/>
      <c r="N31" s="24">
        <v>-7</v>
      </c>
      <c r="O31" s="24">
        <v>1</v>
      </c>
      <c r="P31" s="58">
        <f t="shared" ca="1" si="12"/>
        <v>114.3052055059685</v>
      </c>
      <c r="R31" s="46" t="s">
        <v>111</v>
      </c>
      <c r="S31" s="47">
        <f ca="1"/>
        <v>7.4845852960046102</v>
      </c>
      <c r="T31" s="30"/>
      <c r="U31" s="54" t="s">
        <v>21</v>
      </c>
      <c r="V31" s="16">
        <f>V30</f>
        <v>-6.4956845468942568</v>
      </c>
      <c r="W31" s="17">
        <f>W30</f>
        <v>-1.2798187585245344</v>
      </c>
      <c r="AC31" s="12"/>
      <c r="AD31" s="13"/>
      <c r="AE31" s="13"/>
      <c r="AG31" s="5"/>
      <c r="AM31" s="36"/>
      <c r="BG31" s="160"/>
      <c r="BH31" s="21"/>
    </row>
    <row r="32" spans="1:67" ht="16.5" x14ac:dyDescent="0.3">
      <c r="A32" s="76">
        <v>7</v>
      </c>
      <c r="B32" s="56" t="s">
        <v>22</v>
      </c>
      <c r="C32" s="57">
        <f>VLOOKUP($B32,'Fe calculations'!$Y$13:$AC$51,2,FALSE)</f>
        <v>93.996591249999994</v>
      </c>
      <c r="D32" s="57">
        <f>VLOOKUP($B32,'Fe calculations'!$Y$13:$AC$51,3,FALSE)</f>
        <v>-576.57406844951606</v>
      </c>
      <c r="E32" s="57">
        <f>VLOOKUP($B32,'Fe calculations'!$Y$13:$AC$51,4,FALSE)</f>
        <v>0.1517925856514864</v>
      </c>
      <c r="F32" s="58">
        <f>VLOOKUP($B32,'Fe calculations'!$Y$13:$AC$51,5,FALSE)</f>
        <v>-698.00813697070521</v>
      </c>
      <c r="H32" s="41">
        <v>7</v>
      </c>
      <c r="I32" s="70" t="str">
        <f t="shared" si="11"/>
        <v>Fe₃O₄ + O₂(g) + 3SO₂(g) = 3FeSO₄</v>
      </c>
      <c r="J32" s="71"/>
      <c r="K32" s="161" t="s">
        <v>106</v>
      </c>
      <c r="L32" s="161"/>
      <c r="M32" s="161"/>
      <c r="N32" s="37">
        <v>-1</v>
      </c>
      <c r="O32" s="37">
        <v>-3</v>
      </c>
      <c r="P32" s="108">
        <f t="shared" si="12"/>
        <v>12.921292850770381</v>
      </c>
      <c r="R32" s="38" t="s">
        <v>110</v>
      </c>
      <c r="S32" s="39" cm="1">
        <f t="array" ref="S32:S33">MMULT(MINVERSE(N32:O33),P32:P33)</f>
        <v>-16.840292660104293</v>
      </c>
      <c r="T32" s="30"/>
      <c r="U32" s="54" t="s">
        <v>22</v>
      </c>
      <c r="V32" s="16">
        <f>V31</f>
        <v>-6.4956845468942568</v>
      </c>
      <c r="W32" s="17">
        <f>W31</f>
        <v>-1.2798187585245344</v>
      </c>
      <c r="AC32" s="12">
        <v>3</v>
      </c>
      <c r="AD32" s="30" t="s">
        <v>94</v>
      </c>
      <c r="AE32" s="13"/>
      <c r="AF32" s="21">
        <f>S26</f>
        <v>-28.512343040773242</v>
      </c>
      <c r="AG32" s="52">
        <f>($AC$11+5*AF32)/3</f>
        <v>-16.381183937815873</v>
      </c>
      <c r="AM32" s="36"/>
      <c r="AO32" s="59"/>
      <c r="AP32" s="60"/>
      <c r="AQ32" s="160"/>
      <c r="BG32" s="160"/>
      <c r="BH32" s="21"/>
      <c r="BI32" s="21"/>
    </row>
    <row r="33" spans="1:61" ht="16.5" x14ac:dyDescent="0.3">
      <c r="A33" s="72" t="s">
        <v>2</v>
      </c>
      <c r="B33" s="82" t="s">
        <v>35</v>
      </c>
      <c r="C33" s="83">
        <f>VLOOKUP($B33,'Fe calculations'!$Y$13:$AC$51,2,FALSE)</f>
        <v>8.0648155651986606</v>
      </c>
      <c r="D33" s="83">
        <f>VLOOKUP($B33,'Fe calculations'!$Y$13:$AC$51,3,FALSE)</f>
        <v>3.7863140534984141</v>
      </c>
      <c r="E33" s="83">
        <f>VLOOKUP($B33,'Fe calculations'!$Y$13:$AC$51,4,FALSE)</f>
        <v>5.6391170612665388E-2</v>
      </c>
      <c r="F33" s="53">
        <f>VLOOKUP($B33,'Fe calculations'!$Y$13:$AC$51,5,FALSE)</f>
        <v>-41.326622436633897</v>
      </c>
      <c r="H33" s="23">
        <v>8</v>
      </c>
      <c r="I33" s="74" t="str">
        <f t="shared" si="11"/>
        <v>6Fe₃O₄ = 4Fe₃O₄ + O₂(g)</v>
      </c>
      <c r="J33" s="75"/>
      <c r="K33" s="162" t="s">
        <v>107</v>
      </c>
      <c r="L33" s="162"/>
      <c r="M33" s="162"/>
      <c r="N33" s="24">
        <v>1</v>
      </c>
      <c r="O33" s="24">
        <v>0</v>
      </c>
      <c r="P33" s="58">
        <f t="shared" si="12"/>
        <v>-16.840292660104293</v>
      </c>
      <c r="R33" s="46" t="s">
        <v>111</v>
      </c>
      <c r="S33" s="47">
        <v>1.3063332697779702</v>
      </c>
      <c r="T33" s="30"/>
      <c r="U33" s="61" t="s">
        <v>20</v>
      </c>
      <c r="V33" s="27">
        <f ca="1">S28</f>
        <v>-19.981533165391504</v>
      </c>
      <c r="W33" s="28">
        <f ca="1">S29</f>
        <v>-2.1631674788463116</v>
      </c>
      <c r="AC33" s="12"/>
      <c r="AD33" s="13"/>
      <c r="AE33" s="13"/>
      <c r="AF33" s="21">
        <f ca="1">S28</f>
        <v>-19.981533165391504</v>
      </c>
      <c r="AG33" s="52">
        <f ca="1">($AC$11+5*AF33)/3</f>
        <v>-2.1631674788463093</v>
      </c>
      <c r="AM33" s="36"/>
      <c r="AQ33" s="160"/>
      <c r="BH33" s="21"/>
      <c r="BI33" s="21"/>
    </row>
    <row r="34" spans="1:61" ht="16.5" x14ac:dyDescent="0.3">
      <c r="A34" s="76" t="s">
        <v>3</v>
      </c>
      <c r="B34" s="56" t="s">
        <v>36</v>
      </c>
      <c r="C34" s="57">
        <f>VLOOKUP($B34,'Fe calculations'!$Y$13:$AC$51,2,FALSE)</f>
        <v>12.772137451767922</v>
      </c>
      <c r="D34" s="57">
        <f>VLOOKUP($B34,'Fe calculations'!$Y$13:$AC$51,3,FALSE)</f>
        <v>-65.204270706880095</v>
      </c>
      <c r="E34" s="57">
        <f>VLOOKUP($B34,'Fe calculations'!$Y$13:$AC$51,4,FALSE)</f>
        <v>7.0337811209302686E-2</v>
      </c>
      <c r="F34" s="58">
        <f>VLOOKUP($B34,'Fe calculations'!$Y$13:$AC$51,5,FALSE)</f>
        <v>-121.47451967432224</v>
      </c>
      <c r="H34" s="12">
        <v>9</v>
      </c>
      <c r="I34" s="77" t="str">
        <f t="shared" si="11"/>
        <v>2FeSO₄ + O₂(g) + SO₂(g)= Fe₂(SO₄)₃</v>
      </c>
      <c r="J34" s="30"/>
      <c r="K34" s="168" t="s">
        <v>108</v>
      </c>
      <c r="L34" s="168"/>
      <c r="M34" s="168"/>
      <c r="N34" s="13">
        <v>-1</v>
      </c>
      <c r="O34" s="13">
        <v>-1</v>
      </c>
      <c r="P34" s="53">
        <f t="shared" si="12"/>
        <v>7.7755033054187912</v>
      </c>
      <c r="R34" s="38" t="s">
        <v>110</v>
      </c>
      <c r="S34" s="39" cm="1">
        <f t="array" ref="S34:S35">MMULT(MINVERSE(N34:O35),P34:P35)</f>
        <v>-6.4956845468942568</v>
      </c>
      <c r="T34" s="30"/>
      <c r="AC34" s="12"/>
      <c r="AD34" s="13"/>
      <c r="AE34" s="13"/>
      <c r="AG34" s="5"/>
      <c r="AM34" s="36"/>
      <c r="AO34" s="62"/>
      <c r="AP34" s="60"/>
      <c r="BG34" s="160"/>
      <c r="BH34" s="21"/>
      <c r="BI34" s="21"/>
    </row>
    <row r="35" spans="1:61" ht="16.5" x14ac:dyDescent="0.3">
      <c r="C35" s="20"/>
      <c r="D35" s="20"/>
      <c r="E35" s="20"/>
      <c r="F35" s="20"/>
      <c r="H35" s="23">
        <v>11</v>
      </c>
      <c r="I35" s="74" t="str">
        <f t="shared" si="11"/>
        <v>Fe₂O₃ + 1.5O₂(g) + 3SO₂(g) = Fe₂(SO₄)₃</v>
      </c>
      <c r="J35" s="75"/>
      <c r="K35" s="162" t="s">
        <v>109</v>
      </c>
      <c r="L35" s="162"/>
      <c r="M35" s="162"/>
      <c r="N35" s="24">
        <v>-1.5</v>
      </c>
      <c r="O35" s="24">
        <v>-3</v>
      </c>
      <c r="P35" s="58">
        <f t="shared" si="12"/>
        <v>13.58298309591499</v>
      </c>
      <c r="R35" s="46" t="s">
        <v>111</v>
      </c>
      <c r="S35" s="47">
        <v>-1.2798187585245344</v>
      </c>
      <c r="T35" s="30"/>
      <c r="Z35" s="30"/>
      <c r="AA35" s="30"/>
      <c r="AB35" s="30"/>
      <c r="AC35" s="12">
        <v>4</v>
      </c>
      <c r="AD35" s="30" t="s">
        <v>92</v>
      </c>
      <c r="AE35" s="13"/>
      <c r="AF35" s="21">
        <f>Z28</f>
        <v>-40</v>
      </c>
      <c r="AG35" s="52">
        <f ca="1">AF35-$AC$12</f>
        <v>-22.181634313454804</v>
      </c>
      <c r="AH35" s="66"/>
      <c r="AK35" s="21"/>
      <c r="AM35" s="36"/>
      <c r="AQ35" s="160"/>
      <c r="BG35" s="160"/>
      <c r="BH35" s="21"/>
      <c r="BI35" s="21"/>
    </row>
    <row r="36" spans="1:61" x14ac:dyDescent="0.25">
      <c r="J36" s="78"/>
      <c r="M36" s="30"/>
      <c r="N36" s="30"/>
      <c r="O36" s="30"/>
      <c r="P36" s="30"/>
      <c r="R36" s="30"/>
      <c r="S36" s="30"/>
      <c r="T36" s="30"/>
      <c r="Z36" s="30"/>
      <c r="AA36" s="30"/>
      <c r="AB36" s="30"/>
      <c r="AC36" s="12"/>
      <c r="AD36" s="13"/>
      <c r="AE36" s="13"/>
      <c r="AF36" s="21">
        <f ca="1">S28</f>
        <v>-19.981533165391504</v>
      </c>
      <c r="AG36" s="52">
        <f ca="1">AF36-AC12</f>
        <v>-2.163167478846308</v>
      </c>
      <c r="AH36" s="66"/>
      <c r="AK36" s="21"/>
      <c r="AM36" s="36"/>
      <c r="AQ36" s="160"/>
      <c r="BH36" s="21"/>
      <c r="BI36" s="21"/>
    </row>
    <row r="37" spans="1:61" x14ac:dyDescent="0.25">
      <c r="B37" s="64"/>
      <c r="C37" s="77"/>
      <c r="D37" s="77"/>
      <c r="E37" s="77"/>
      <c r="F37" s="77"/>
      <c r="J37" s="78"/>
      <c r="M37" s="30"/>
      <c r="N37" s="30"/>
      <c r="O37" s="30"/>
      <c r="P37" s="30"/>
      <c r="R37" s="30"/>
      <c r="S37" s="30"/>
      <c r="T37" s="30"/>
      <c r="Z37" s="30"/>
      <c r="AA37" s="30"/>
      <c r="AB37" s="30"/>
      <c r="AC37" s="12"/>
      <c r="AD37" s="13"/>
      <c r="AE37" s="13"/>
      <c r="AG37" s="5"/>
      <c r="AH37" s="66"/>
      <c r="AK37" s="21"/>
      <c r="AM37" s="36"/>
      <c r="BG37" s="160"/>
      <c r="BH37" s="21"/>
      <c r="BI37" s="21"/>
    </row>
    <row r="38" spans="1:61" x14ac:dyDescent="0.25">
      <c r="G38" s="78"/>
      <c r="H38" s="64"/>
      <c r="M38" s="30"/>
      <c r="N38" s="30"/>
      <c r="O38" s="30"/>
      <c r="P38" s="30"/>
      <c r="R38" s="30"/>
      <c r="S38" s="30"/>
      <c r="T38" s="30"/>
      <c r="Z38" s="30"/>
      <c r="AA38" s="30"/>
      <c r="AB38" s="30"/>
      <c r="AC38" s="12">
        <v>5</v>
      </c>
      <c r="AD38" s="30" t="s">
        <v>95</v>
      </c>
      <c r="AE38" s="13"/>
      <c r="AF38" s="21">
        <f ca="1">S28</f>
        <v>-19.981533165391504</v>
      </c>
      <c r="AG38" s="52">
        <f ca="1">S29</f>
        <v>-2.1631674788463116</v>
      </c>
      <c r="AH38" s="66"/>
      <c r="AK38" s="21"/>
      <c r="AM38" s="36"/>
      <c r="AQ38" s="160"/>
      <c r="BG38" s="160"/>
      <c r="BH38" s="21"/>
      <c r="BI38" s="21"/>
    </row>
    <row r="39" spans="1:61" x14ac:dyDescent="0.25">
      <c r="H39" s="64"/>
      <c r="J39" s="77"/>
      <c r="K39" s="77"/>
      <c r="L39" s="78"/>
      <c r="M39" s="30"/>
      <c r="N39" s="30"/>
      <c r="O39" s="30"/>
      <c r="P39" s="30"/>
      <c r="R39" s="30"/>
      <c r="S39" s="30"/>
      <c r="T39" s="30"/>
      <c r="AC39" s="12"/>
      <c r="AD39" s="13"/>
      <c r="AE39" s="13"/>
      <c r="AF39" s="21">
        <f ca="1">S30</f>
        <v>-15.260088601423412</v>
      </c>
      <c r="AG39" s="52">
        <f ca="1">S31</f>
        <v>7.4845852960046102</v>
      </c>
      <c r="AM39" s="36"/>
      <c r="AQ39" s="160"/>
      <c r="BH39" s="21"/>
      <c r="BI39" s="21"/>
    </row>
    <row r="40" spans="1:61" ht="13.9" x14ac:dyDescent="0.25">
      <c r="J40" s="77"/>
      <c r="K40" s="77"/>
      <c r="L40" s="77"/>
      <c r="N40" s="77"/>
      <c r="O40" s="78"/>
      <c r="AC40" s="12"/>
      <c r="AD40" s="13"/>
      <c r="AE40" s="13"/>
      <c r="AG40" s="5"/>
      <c r="AM40" s="36"/>
      <c r="BG40" s="13"/>
      <c r="BH40" s="21"/>
      <c r="BI40" s="21"/>
    </row>
    <row r="41" spans="1:61" x14ac:dyDescent="0.25">
      <c r="E41" s="13"/>
      <c r="F41" s="13"/>
      <c r="AC41" s="12">
        <v>6</v>
      </c>
      <c r="AD41" s="30" t="s">
        <v>96</v>
      </c>
      <c r="AE41" s="13"/>
      <c r="AF41" s="21">
        <f ca="1">S30</f>
        <v>-15.260088601423412</v>
      </c>
      <c r="AG41" s="52">
        <f ca="1">S31</f>
        <v>7.4845852960046102</v>
      </c>
      <c r="AN41" s="36"/>
      <c r="AQ41" s="160"/>
      <c r="BG41" s="13"/>
      <c r="BH41" s="21"/>
      <c r="BI41" s="21"/>
    </row>
    <row r="42" spans="1:61" x14ac:dyDescent="0.25">
      <c r="B42" s="65"/>
      <c r="C42" s="65"/>
      <c r="D42" s="63"/>
      <c r="E42" s="63"/>
      <c r="F42" s="63"/>
      <c r="G42" s="13"/>
      <c r="H42" s="13"/>
      <c r="I42" s="13"/>
      <c r="J42" s="13"/>
      <c r="K42" s="13"/>
      <c r="L42" s="13"/>
      <c r="M42" s="13"/>
      <c r="N42" s="13"/>
      <c r="O42" s="13"/>
      <c r="P42" s="13"/>
      <c r="AC42" s="12"/>
      <c r="AD42" s="13"/>
      <c r="AE42" s="13"/>
      <c r="AF42" s="21">
        <f ca="1">(AG42-AC14)/7</f>
        <v>-13.472172215138357</v>
      </c>
      <c r="AG42" s="52">
        <f>AA27</f>
        <v>20</v>
      </c>
      <c r="AN42" s="36"/>
      <c r="AQ42" s="160"/>
      <c r="BH42" s="21"/>
      <c r="BI42" s="21"/>
    </row>
    <row r="43" spans="1:61" x14ac:dyDescent="0.25">
      <c r="B43" s="30"/>
      <c r="C43" s="30"/>
      <c r="D43" s="30"/>
      <c r="E43" s="66"/>
      <c r="F43" s="66"/>
      <c r="G43" s="66"/>
      <c r="H43" s="66"/>
      <c r="I43" s="66"/>
      <c r="J43" s="63"/>
      <c r="K43" s="63"/>
      <c r="L43" s="63"/>
      <c r="M43" s="63"/>
      <c r="N43" s="63"/>
      <c r="O43" s="63"/>
      <c r="P43" s="63"/>
      <c r="AC43" s="12"/>
      <c r="AD43" s="13"/>
      <c r="AE43" s="13"/>
      <c r="AG43" s="5"/>
      <c r="AN43" s="36"/>
      <c r="BG43" s="160"/>
      <c r="BH43" s="21"/>
      <c r="BI43" s="21"/>
    </row>
    <row r="44" spans="1:61" x14ac:dyDescent="0.25">
      <c r="B44" s="30"/>
      <c r="C44" s="30"/>
      <c r="D44" s="30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AC44" s="12">
        <v>7</v>
      </c>
      <c r="AD44" s="30" t="s">
        <v>97</v>
      </c>
      <c r="AE44" s="13"/>
      <c r="AF44" s="21">
        <f ca="1">S28</f>
        <v>-19.981533165391504</v>
      </c>
      <c r="AG44" s="52">
        <f ca="1">S29</f>
        <v>-2.1631674788463116</v>
      </c>
      <c r="AN44" s="36"/>
      <c r="AQ44" s="160"/>
      <c r="BG44" s="160"/>
      <c r="BH44" s="21"/>
      <c r="BI44" s="21"/>
    </row>
    <row r="45" spans="1:61" x14ac:dyDescent="0.25">
      <c r="B45" s="30"/>
      <c r="C45" s="30"/>
      <c r="D45" s="30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AC45" s="12"/>
      <c r="AD45" s="13"/>
      <c r="AE45" s="13"/>
      <c r="AF45" s="21">
        <f>S32</f>
        <v>-16.840292660104293</v>
      </c>
      <c r="AG45" s="52">
        <f>S33</f>
        <v>1.3063332697779702</v>
      </c>
      <c r="AN45" s="36"/>
      <c r="AQ45" s="160"/>
      <c r="BH45" s="21"/>
      <c r="BI45" s="21"/>
    </row>
    <row r="46" spans="1:61" x14ac:dyDescent="0.25">
      <c r="B46" s="30"/>
      <c r="C46" s="30"/>
      <c r="D46" s="30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AC46" s="12"/>
      <c r="AD46" s="13"/>
      <c r="AE46" s="13"/>
      <c r="AG46" s="5"/>
      <c r="AN46" s="36"/>
      <c r="AP46" s="20"/>
      <c r="BG46" s="160"/>
      <c r="BH46" s="21"/>
      <c r="BI46" s="21"/>
    </row>
    <row r="47" spans="1:61" x14ac:dyDescent="0.25">
      <c r="B47" s="30"/>
      <c r="C47" s="30"/>
      <c r="D47" s="30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AC47" s="12">
        <v>8</v>
      </c>
      <c r="AD47" s="30" t="s">
        <v>98</v>
      </c>
      <c r="AE47" s="13"/>
      <c r="AF47" s="21">
        <f>$AC$16</f>
        <v>-16.840292660104293</v>
      </c>
      <c r="AG47" s="52">
        <f>S33</f>
        <v>1.3063332697779702</v>
      </c>
      <c r="AN47" s="36"/>
      <c r="AP47" s="20"/>
      <c r="AQ47" s="160"/>
      <c r="BG47" s="160"/>
      <c r="BH47" s="21"/>
      <c r="BI47" s="21"/>
    </row>
    <row r="48" spans="1:61" x14ac:dyDescent="0.25">
      <c r="B48" s="30"/>
      <c r="C48" s="30"/>
      <c r="D48" s="30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AC48" s="12"/>
      <c r="AD48" s="13"/>
      <c r="AE48" s="13"/>
      <c r="AF48" s="21">
        <f>$AC$16</f>
        <v>-16.840292660104293</v>
      </c>
      <c r="AG48" s="52">
        <f>AA28</f>
        <v>-40</v>
      </c>
      <c r="AQ48" s="160"/>
      <c r="BH48" s="21"/>
      <c r="BI48" s="21"/>
    </row>
    <row r="49" spans="2:61" x14ac:dyDescent="0.25">
      <c r="B49" s="30"/>
      <c r="C49" s="30"/>
      <c r="D49" s="30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AC49" s="12"/>
      <c r="AD49" s="13"/>
      <c r="AE49" s="13"/>
      <c r="AG49" s="5"/>
      <c r="BG49" s="160"/>
      <c r="BH49" s="21"/>
      <c r="BI49" s="21"/>
    </row>
    <row r="50" spans="2:61" x14ac:dyDescent="0.25">
      <c r="B50" s="30"/>
      <c r="C50" s="30"/>
      <c r="D50" s="30"/>
      <c r="E50" s="66"/>
      <c r="F50" s="66"/>
      <c r="G50" s="66"/>
      <c r="H50" s="66"/>
      <c r="I50" s="66"/>
      <c r="J50" s="66"/>
      <c r="K50" s="66"/>
      <c r="L50" s="66"/>
      <c r="AC50" s="12">
        <v>9</v>
      </c>
      <c r="AD50" s="30" t="s">
        <v>99</v>
      </c>
      <c r="AE50" s="13"/>
      <c r="AF50" s="21">
        <f ca="1">S30</f>
        <v>-15.260088601423412</v>
      </c>
      <c r="AG50" s="52">
        <f ca="1">S31</f>
        <v>7.4845852960046102</v>
      </c>
      <c r="AQ50" s="160"/>
      <c r="BG50" s="160"/>
      <c r="BH50" s="21"/>
      <c r="BI50" s="21"/>
    </row>
    <row r="51" spans="2:61" x14ac:dyDescent="0.25">
      <c r="B51" s="30"/>
      <c r="C51" s="30"/>
      <c r="D51" s="30"/>
      <c r="E51" s="66"/>
      <c r="F51" s="66"/>
      <c r="G51" s="66"/>
      <c r="H51" s="66"/>
      <c r="I51" s="66"/>
      <c r="J51" s="66"/>
      <c r="K51" s="66"/>
      <c r="L51" s="66"/>
      <c r="AC51" s="12"/>
      <c r="AD51" s="13"/>
      <c r="AE51" s="13"/>
      <c r="AF51" s="21">
        <f>S34</f>
        <v>-6.4956845468942568</v>
      </c>
      <c r="AG51" s="52">
        <f>S35</f>
        <v>-1.2798187585245344</v>
      </c>
      <c r="AQ51" s="160"/>
      <c r="BH51" s="21"/>
      <c r="BI51" s="21"/>
    </row>
    <row r="52" spans="2:61" x14ac:dyDescent="0.25">
      <c r="B52" s="30"/>
      <c r="C52" s="30"/>
      <c r="D52" s="30"/>
      <c r="E52" s="66"/>
      <c r="F52" s="66"/>
      <c r="G52" s="66"/>
      <c r="H52" s="66"/>
      <c r="I52" s="66"/>
      <c r="J52" s="66"/>
      <c r="K52" s="66"/>
      <c r="L52" s="66"/>
      <c r="X52" s="30"/>
      <c r="AC52" s="12"/>
      <c r="AD52" s="13"/>
      <c r="AE52" s="13"/>
      <c r="AG52" s="5"/>
      <c r="BG52" s="160"/>
      <c r="BH52" s="21"/>
      <c r="BI52" s="21"/>
    </row>
    <row r="53" spans="2:61" x14ac:dyDescent="0.25">
      <c r="B53" s="30"/>
      <c r="C53" s="30"/>
      <c r="D53" s="30"/>
      <c r="E53" s="66"/>
      <c r="F53" s="66"/>
      <c r="G53" s="66"/>
      <c r="H53" s="66"/>
      <c r="I53" s="66"/>
      <c r="J53" s="66"/>
      <c r="K53" s="66"/>
      <c r="L53" s="66"/>
      <c r="X53" s="30"/>
      <c r="AC53" s="12">
        <v>10</v>
      </c>
      <c r="AD53" s="30" t="s">
        <v>99</v>
      </c>
      <c r="AE53" s="13"/>
      <c r="AF53" s="21">
        <f>S32</f>
        <v>-16.840292660104293</v>
      </c>
      <c r="AG53" s="52">
        <f>S33</f>
        <v>1.3063332697779702</v>
      </c>
      <c r="AQ53" s="160"/>
      <c r="BG53" s="160"/>
      <c r="BH53" s="21"/>
      <c r="BI53" s="21"/>
    </row>
    <row r="54" spans="2:61" x14ac:dyDescent="0.25">
      <c r="B54" s="30"/>
      <c r="C54" s="30"/>
      <c r="D54" s="30"/>
      <c r="E54" s="66"/>
      <c r="F54" s="66"/>
      <c r="G54" s="66"/>
      <c r="H54" s="66"/>
      <c r="I54" s="66"/>
      <c r="J54" s="66"/>
      <c r="K54" s="66"/>
      <c r="L54" s="66"/>
      <c r="X54" s="30"/>
      <c r="AC54" s="12"/>
      <c r="AD54" s="13"/>
      <c r="AE54" s="13"/>
      <c r="AF54" s="21">
        <f>S34</f>
        <v>-6.4956845468942568</v>
      </c>
      <c r="AG54" s="52">
        <f>S35</f>
        <v>-1.2798187585245344</v>
      </c>
      <c r="AQ54" s="160"/>
      <c r="BH54" s="21"/>
      <c r="BI54" s="21"/>
    </row>
    <row r="55" spans="2:61" x14ac:dyDescent="0.25">
      <c r="B55" s="30"/>
      <c r="C55" s="30"/>
      <c r="D55" s="30"/>
      <c r="E55" s="66"/>
      <c r="F55" s="66"/>
      <c r="G55" s="66"/>
      <c r="H55" s="66"/>
      <c r="I55" s="66"/>
      <c r="J55" s="66"/>
      <c r="K55" s="66"/>
      <c r="L55" s="66"/>
      <c r="X55" s="30"/>
      <c r="AC55" s="12"/>
      <c r="AD55" s="13"/>
      <c r="AE55" s="13"/>
      <c r="AG55" s="5"/>
      <c r="BG55" s="160"/>
      <c r="BH55" s="21"/>
      <c r="BI55" s="21"/>
    </row>
    <row r="56" spans="2:61" x14ac:dyDescent="0.25">
      <c r="B56" s="30"/>
      <c r="C56" s="30"/>
      <c r="D56" s="30"/>
      <c r="E56" s="66"/>
      <c r="F56" s="66"/>
      <c r="G56" s="66"/>
      <c r="H56" s="66"/>
      <c r="I56" s="66"/>
      <c r="J56" s="66"/>
      <c r="K56" s="66"/>
      <c r="L56" s="66"/>
      <c r="X56" s="30"/>
      <c r="AC56" s="12">
        <v>11</v>
      </c>
      <c r="AD56" s="30" t="s">
        <v>100</v>
      </c>
      <c r="AE56" s="13"/>
      <c r="AF56" s="21">
        <f>S34</f>
        <v>-6.4956845468942568</v>
      </c>
      <c r="AG56" s="52">
        <f>(-1.5*AF56-$AC$19)/3</f>
        <v>-1.2798187585245351</v>
      </c>
      <c r="AQ56" s="160"/>
      <c r="BG56" s="160"/>
      <c r="BH56" s="21"/>
      <c r="BI56" s="21"/>
    </row>
    <row r="57" spans="2:61" x14ac:dyDescent="0.25">
      <c r="B57" s="30"/>
      <c r="C57" s="30"/>
      <c r="D57" s="30"/>
      <c r="E57" s="66"/>
      <c r="F57" s="66"/>
      <c r="G57" s="66"/>
      <c r="H57" s="66"/>
      <c r="I57" s="66"/>
      <c r="J57" s="66"/>
      <c r="K57" s="66"/>
      <c r="L57" s="66"/>
      <c r="X57" s="30"/>
      <c r="AC57" s="23"/>
      <c r="AD57" s="24"/>
      <c r="AE57" s="24"/>
      <c r="AF57" s="67">
        <f>Z27</f>
        <v>10</v>
      </c>
      <c r="AG57" s="159">
        <f>(-1.5*AF57-$AC$19)/3</f>
        <v>-9.5276610319716628</v>
      </c>
      <c r="AQ57" s="160"/>
      <c r="BH57" s="21"/>
      <c r="BI57" s="21"/>
    </row>
    <row r="58" spans="2:61" x14ac:dyDescent="0.25">
      <c r="B58" s="30"/>
      <c r="C58" s="30"/>
      <c r="D58" s="30"/>
      <c r="E58" s="66"/>
      <c r="F58" s="66"/>
      <c r="G58" s="66"/>
      <c r="H58" s="66"/>
      <c r="I58" s="66"/>
      <c r="J58" s="66"/>
      <c r="K58" s="66"/>
      <c r="L58" s="66"/>
      <c r="X58" s="30"/>
      <c r="BG58" s="160"/>
      <c r="BH58" s="21"/>
      <c r="BI58" s="21"/>
    </row>
    <row r="59" spans="2:61" x14ac:dyDescent="0.25">
      <c r="B59" s="30"/>
      <c r="C59" s="30"/>
      <c r="D59" s="30"/>
      <c r="E59" s="66"/>
      <c r="F59" s="66"/>
      <c r="G59" s="66"/>
      <c r="H59" s="66"/>
      <c r="I59" s="66"/>
      <c r="J59" s="66"/>
      <c r="K59" s="66"/>
      <c r="L59" s="66"/>
      <c r="X59" s="30"/>
      <c r="AQ59" s="160"/>
      <c r="AS59" s="21"/>
      <c r="BG59" s="160"/>
      <c r="BH59" s="21"/>
      <c r="BI59" s="21"/>
    </row>
    <row r="60" spans="2:61" x14ac:dyDescent="0.25">
      <c r="B60" s="30"/>
      <c r="C60" s="30"/>
      <c r="D60" s="30"/>
      <c r="E60" s="66"/>
      <c r="F60" s="66"/>
      <c r="G60" s="66"/>
      <c r="H60" s="66"/>
      <c r="I60" s="66"/>
      <c r="J60" s="66"/>
      <c r="K60" s="66"/>
      <c r="L60" s="66"/>
      <c r="X60" s="30"/>
      <c r="AQ60" s="160"/>
      <c r="AR60" s="21"/>
      <c r="AS60" s="21"/>
      <c r="BH60" s="21"/>
      <c r="BI60" s="21"/>
    </row>
    <row r="61" spans="2:61" x14ac:dyDescent="0.25">
      <c r="B61" s="30"/>
      <c r="C61" s="30"/>
      <c r="D61" s="30"/>
      <c r="E61" s="66"/>
      <c r="F61" s="66"/>
      <c r="G61" s="66"/>
      <c r="H61" s="66"/>
      <c r="I61" s="66"/>
      <c r="J61" s="66"/>
      <c r="K61" s="66"/>
      <c r="L61" s="66"/>
      <c r="X61" s="30"/>
      <c r="BG61" s="160"/>
      <c r="BH61" s="21"/>
      <c r="BI61" s="21"/>
    </row>
    <row r="62" spans="2:61" x14ac:dyDescent="0.25">
      <c r="B62" s="30"/>
      <c r="C62" s="30"/>
      <c r="D62" s="30"/>
      <c r="E62" s="66"/>
      <c r="F62" s="66"/>
      <c r="G62" s="66"/>
      <c r="H62" s="66"/>
      <c r="I62" s="66"/>
      <c r="J62" s="66"/>
      <c r="K62" s="66"/>
      <c r="L62" s="66"/>
      <c r="X62" s="30"/>
      <c r="AQ62" s="160"/>
      <c r="AR62" s="21"/>
      <c r="AS62" s="21"/>
      <c r="BG62" s="160"/>
      <c r="BH62" s="21"/>
      <c r="BI62" s="21"/>
    </row>
    <row r="63" spans="2:61" x14ac:dyDescent="0.25">
      <c r="B63" s="30"/>
      <c r="C63" s="30"/>
      <c r="D63" s="30"/>
      <c r="E63" s="66"/>
      <c r="F63" s="66"/>
      <c r="G63" s="66"/>
      <c r="H63" s="66"/>
      <c r="I63" s="66"/>
      <c r="J63" s="66"/>
      <c r="K63" s="66"/>
      <c r="L63" s="66"/>
      <c r="AQ63" s="160"/>
      <c r="AR63" s="68"/>
      <c r="AS63" s="21"/>
      <c r="BH63" s="21"/>
      <c r="BI63" s="21"/>
    </row>
    <row r="64" spans="2:61" x14ac:dyDescent="0.25">
      <c r="B64" s="30"/>
      <c r="C64" s="30"/>
      <c r="D64" s="30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AS64" s="21"/>
      <c r="BG64" s="160"/>
      <c r="BH64" s="21"/>
      <c r="BI64" s="21"/>
    </row>
    <row r="65" spans="2:61" x14ac:dyDescent="0.25">
      <c r="B65" s="30"/>
      <c r="C65" s="30"/>
      <c r="D65" s="30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AQ65" s="160"/>
      <c r="AR65" s="21"/>
      <c r="BG65" s="160"/>
      <c r="BH65" s="21"/>
      <c r="BI65" s="21"/>
    </row>
    <row r="66" spans="2:61" x14ac:dyDescent="0.25">
      <c r="B66" s="30"/>
      <c r="C66" s="30"/>
      <c r="D66" s="30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AQ66" s="160"/>
      <c r="AR66" s="21"/>
    </row>
    <row r="67" spans="2:61" x14ac:dyDescent="0.25">
      <c r="B67" s="30"/>
      <c r="C67" s="30"/>
      <c r="D67" s="30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</row>
    <row r="68" spans="2:61" x14ac:dyDescent="0.25">
      <c r="B68" s="30"/>
      <c r="C68" s="30"/>
      <c r="D68" s="30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</row>
    <row r="69" spans="2:61" x14ac:dyDescent="0.25">
      <c r="B69" s="30"/>
      <c r="C69" s="30"/>
      <c r="D69" s="30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</row>
    <row r="70" spans="2:61" x14ac:dyDescent="0.25">
      <c r="B70" s="30"/>
      <c r="C70" s="30"/>
      <c r="D70" s="30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</row>
    <row r="71" spans="2:61" x14ac:dyDescent="0.25">
      <c r="B71" s="30"/>
      <c r="C71" s="30"/>
      <c r="D71" s="30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</row>
    <row r="72" spans="2:61" x14ac:dyDescent="0.25">
      <c r="B72" s="30"/>
      <c r="C72" s="30"/>
      <c r="D72" s="30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</row>
    <row r="73" spans="2:61" x14ac:dyDescent="0.25">
      <c r="B73" s="30"/>
      <c r="C73" s="30"/>
      <c r="D73" s="30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</row>
    <row r="74" spans="2:61" x14ac:dyDescent="0.25">
      <c r="B74" s="30"/>
      <c r="C74" s="30"/>
      <c r="D74" s="30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</row>
    <row r="75" spans="2:61" x14ac:dyDescent="0.25">
      <c r="B75" s="30"/>
      <c r="C75" s="30"/>
      <c r="D75" s="30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</row>
    <row r="76" spans="2:61" x14ac:dyDescent="0.25">
      <c r="B76" s="30"/>
      <c r="C76" s="30"/>
      <c r="D76" s="30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</row>
    <row r="77" spans="2:61" x14ac:dyDescent="0.25">
      <c r="B77" s="30"/>
      <c r="C77" s="30"/>
      <c r="D77" s="30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</row>
    <row r="78" spans="2:61" x14ac:dyDescent="0.25">
      <c r="B78" s="30"/>
      <c r="C78" s="30"/>
      <c r="D78" s="30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</row>
    <row r="79" spans="2:61" x14ac:dyDescent="0.25">
      <c r="B79" s="30"/>
      <c r="C79" s="30"/>
      <c r="D79" s="30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</row>
    <row r="80" spans="2:61" x14ac:dyDescent="0.25">
      <c r="B80" s="30"/>
      <c r="C80" s="30"/>
      <c r="D80" s="30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</row>
    <row r="81" spans="2:41" x14ac:dyDescent="0.25">
      <c r="B81" s="30"/>
      <c r="C81" s="30"/>
      <c r="D81" s="30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</row>
    <row r="82" spans="2:41" x14ac:dyDescent="0.25">
      <c r="B82" s="30"/>
      <c r="C82" s="30"/>
      <c r="D82" s="30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</row>
    <row r="83" spans="2:41" x14ac:dyDescent="0.25">
      <c r="B83" s="30"/>
      <c r="C83" s="30"/>
      <c r="D83" s="30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</row>
    <row r="84" spans="2:41" x14ac:dyDescent="0.25">
      <c r="B84" s="30"/>
      <c r="C84" s="30"/>
      <c r="D84" s="30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</row>
    <row r="85" spans="2:41" x14ac:dyDescent="0.25">
      <c r="B85" s="30"/>
      <c r="C85" s="30"/>
      <c r="D85" s="30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AL85" s="68"/>
    </row>
    <row r="86" spans="2:41" x14ac:dyDescent="0.25">
      <c r="B86" s="30"/>
      <c r="C86" s="30"/>
      <c r="D86" s="30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AL86" s="68"/>
    </row>
    <row r="87" spans="2:41" x14ac:dyDescent="0.25">
      <c r="B87" s="30"/>
      <c r="C87" s="30"/>
      <c r="D87" s="30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</row>
    <row r="88" spans="2:41" x14ac:dyDescent="0.25">
      <c r="B88" s="30"/>
      <c r="C88" s="30"/>
      <c r="D88" s="30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AN88" s="68"/>
      <c r="AO88" s="68"/>
    </row>
    <row r="89" spans="2:41" x14ac:dyDescent="0.25">
      <c r="B89" s="30"/>
      <c r="C89" s="30"/>
      <c r="D89" s="30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AN89" s="68"/>
      <c r="AO89" s="68"/>
    </row>
    <row r="90" spans="2:41" x14ac:dyDescent="0.25">
      <c r="B90" s="30"/>
      <c r="C90" s="30"/>
      <c r="D90" s="30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AN90" s="68"/>
      <c r="AO90" s="68"/>
    </row>
    <row r="91" spans="2:41" x14ac:dyDescent="0.25">
      <c r="B91" s="30"/>
      <c r="C91" s="30"/>
      <c r="D91" s="30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AN91" s="68"/>
      <c r="AO91" s="68"/>
    </row>
    <row r="92" spans="2:41" x14ac:dyDescent="0.25">
      <c r="B92" s="30"/>
      <c r="C92" s="30"/>
      <c r="D92" s="30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AN92" s="68"/>
      <c r="AO92" s="68"/>
    </row>
    <row r="93" spans="2:41" x14ac:dyDescent="0.25">
      <c r="B93" s="30"/>
      <c r="C93" s="30"/>
      <c r="D93" s="30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AN93" s="68"/>
      <c r="AO93" s="68"/>
    </row>
    <row r="94" spans="2:41" x14ac:dyDescent="0.25">
      <c r="B94" s="30"/>
      <c r="C94" s="30"/>
      <c r="D94" s="30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AN94" s="68"/>
      <c r="AO94" s="68"/>
    </row>
    <row r="95" spans="2:41" x14ac:dyDescent="0.25">
      <c r="B95" s="30"/>
      <c r="C95" s="30"/>
      <c r="D95" s="30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</row>
    <row r="96" spans="2:41" x14ac:dyDescent="0.25">
      <c r="B96" s="30"/>
      <c r="C96" s="30"/>
      <c r="D96" s="30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</row>
    <row r="97" spans="2:16" x14ac:dyDescent="0.25">
      <c r="B97" s="30"/>
      <c r="C97" s="30"/>
      <c r="D97" s="30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</row>
    <row r="98" spans="2:16" x14ac:dyDescent="0.25">
      <c r="B98" s="30"/>
      <c r="C98" s="30"/>
      <c r="D98" s="30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</row>
    <row r="99" spans="2:16" x14ac:dyDescent="0.25">
      <c r="B99" s="30"/>
      <c r="C99" s="30"/>
      <c r="D99" s="30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</row>
    <row r="100" spans="2:16" x14ac:dyDescent="0.25">
      <c r="B100" s="30"/>
      <c r="C100" s="30"/>
      <c r="D100" s="30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</row>
    <row r="101" spans="2:16" x14ac:dyDescent="0.25">
      <c r="B101" s="30"/>
      <c r="C101" s="30"/>
      <c r="D101" s="30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</row>
    <row r="102" spans="2:16" x14ac:dyDescent="0.25">
      <c r="B102" s="30"/>
      <c r="C102" s="30"/>
      <c r="D102" s="30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</row>
    <row r="103" spans="2:16" x14ac:dyDescent="0.25">
      <c r="B103" s="30"/>
      <c r="C103" s="30"/>
      <c r="D103" s="30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</row>
    <row r="104" spans="2:16" x14ac:dyDescent="0.25">
      <c r="B104" s="30"/>
      <c r="C104" s="30"/>
      <c r="D104" s="30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</row>
    <row r="105" spans="2:16" x14ac:dyDescent="0.25">
      <c r="B105" s="30"/>
      <c r="C105" s="30"/>
      <c r="D105" s="30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</row>
    <row r="106" spans="2:16" x14ac:dyDescent="0.25">
      <c r="B106" s="30"/>
      <c r="C106" s="30"/>
      <c r="D106" s="30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</row>
    <row r="107" spans="2:16" x14ac:dyDescent="0.25">
      <c r="B107" s="30"/>
      <c r="C107" s="30"/>
      <c r="D107" s="30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</row>
    <row r="108" spans="2:16" x14ac:dyDescent="0.25">
      <c r="B108" s="30"/>
      <c r="C108" s="30"/>
      <c r="D108" s="30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</row>
    <row r="109" spans="2:16" x14ac:dyDescent="0.25">
      <c r="B109" s="30"/>
      <c r="C109" s="30"/>
      <c r="D109" s="30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</row>
    <row r="110" spans="2:16" x14ac:dyDescent="0.25">
      <c r="B110" s="30"/>
      <c r="C110" s="30"/>
      <c r="D110" s="30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</row>
    <row r="111" spans="2:16" x14ac:dyDescent="0.25">
      <c r="B111" s="30"/>
      <c r="C111" s="30"/>
      <c r="D111" s="30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</row>
    <row r="112" spans="2:16" x14ac:dyDescent="0.25">
      <c r="B112" s="30"/>
      <c r="C112" s="30"/>
      <c r="D112" s="30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</row>
    <row r="113" spans="2:16" x14ac:dyDescent="0.25">
      <c r="B113" s="30"/>
      <c r="C113" s="30"/>
      <c r="D113" s="30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</row>
    <row r="114" spans="2:16" x14ac:dyDescent="0.25">
      <c r="B114" s="30"/>
      <c r="C114" s="30"/>
      <c r="D114" s="30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</row>
    <row r="115" spans="2:16" x14ac:dyDescent="0.25">
      <c r="B115" s="30"/>
      <c r="C115" s="30"/>
      <c r="D115" s="30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</row>
    <row r="116" spans="2:16" x14ac:dyDescent="0.25">
      <c r="B116" s="30"/>
      <c r="C116" s="30"/>
      <c r="D116" s="30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</row>
    <row r="117" spans="2:16" x14ac:dyDescent="0.25">
      <c r="B117" s="30"/>
      <c r="C117" s="30"/>
      <c r="D117" s="30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</row>
    <row r="118" spans="2:16" x14ac:dyDescent="0.25">
      <c r="B118" s="30"/>
      <c r="C118" s="30"/>
      <c r="D118" s="30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</row>
    <row r="119" spans="2:16" x14ac:dyDescent="0.25">
      <c r="B119" s="30"/>
      <c r="C119" s="30"/>
      <c r="D119" s="30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</row>
    <row r="120" spans="2:16" x14ac:dyDescent="0.25">
      <c r="B120" s="30"/>
      <c r="C120" s="30"/>
      <c r="D120" s="30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</row>
    <row r="121" spans="2:16" x14ac:dyDescent="0.25">
      <c r="B121" s="30"/>
      <c r="C121" s="30"/>
      <c r="D121" s="30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</row>
    <row r="122" spans="2:16" x14ac:dyDescent="0.25">
      <c r="B122" s="30"/>
      <c r="C122" s="30"/>
      <c r="D122" s="30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</row>
    <row r="123" spans="2:16" x14ac:dyDescent="0.25">
      <c r="B123" s="30"/>
      <c r="C123" s="30"/>
      <c r="D123" s="30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</row>
    <row r="124" spans="2:16" x14ac:dyDescent="0.25">
      <c r="B124" s="30"/>
      <c r="C124" s="30"/>
      <c r="D124" s="30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</row>
    <row r="125" spans="2:16" x14ac:dyDescent="0.25">
      <c r="B125" s="30"/>
      <c r="C125" s="30"/>
      <c r="D125" s="30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</row>
    <row r="126" spans="2:16" x14ac:dyDescent="0.25">
      <c r="B126" s="30"/>
      <c r="C126" s="30"/>
      <c r="D126" s="30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</row>
    <row r="127" spans="2:16" x14ac:dyDescent="0.25">
      <c r="B127" s="30"/>
      <c r="C127" s="30"/>
      <c r="D127" s="30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</row>
    <row r="128" spans="2:16" x14ac:dyDescent="0.25">
      <c r="B128" s="30"/>
      <c r="C128" s="30"/>
      <c r="D128" s="30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</row>
    <row r="129" spans="2:16" x14ac:dyDescent="0.25">
      <c r="B129" s="30"/>
      <c r="C129" s="30"/>
      <c r="D129" s="30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</row>
    <row r="130" spans="2:16" x14ac:dyDescent="0.25">
      <c r="B130" s="30"/>
      <c r="C130" s="30"/>
      <c r="D130" s="30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</row>
    <row r="131" spans="2:16" x14ac:dyDescent="0.25">
      <c r="B131" s="30"/>
      <c r="C131" s="30"/>
      <c r="D131" s="30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</row>
    <row r="132" spans="2:16" x14ac:dyDescent="0.25">
      <c r="B132" s="30"/>
      <c r="C132" s="30"/>
      <c r="D132" s="30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</row>
    <row r="133" spans="2:16" x14ac:dyDescent="0.25">
      <c r="B133" s="30"/>
      <c r="C133" s="30"/>
      <c r="D133" s="30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</row>
    <row r="134" spans="2:16" x14ac:dyDescent="0.25">
      <c r="B134" s="30"/>
      <c r="C134" s="30"/>
      <c r="D134" s="30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</row>
    <row r="135" spans="2:16" x14ac:dyDescent="0.25">
      <c r="B135" s="30"/>
      <c r="C135" s="30"/>
      <c r="D135" s="30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</row>
    <row r="136" spans="2:16" x14ac:dyDescent="0.25">
      <c r="B136" s="30"/>
      <c r="C136" s="30"/>
      <c r="D136" s="30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</row>
    <row r="137" spans="2:16" x14ac:dyDescent="0.25">
      <c r="B137" s="30"/>
      <c r="C137" s="30"/>
      <c r="D137" s="30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</row>
    <row r="138" spans="2:16" x14ac:dyDescent="0.25">
      <c r="B138" s="30"/>
      <c r="C138" s="30"/>
      <c r="D138" s="30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</row>
    <row r="139" spans="2:16" x14ac:dyDescent="0.25">
      <c r="B139" s="30"/>
      <c r="C139" s="30"/>
      <c r="D139" s="30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</row>
    <row r="140" spans="2:16" x14ac:dyDescent="0.25">
      <c r="B140" s="30"/>
      <c r="C140" s="30"/>
      <c r="D140" s="30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</row>
    <row r="141" spans="2:16" x14ac:dyDescent="0.25">
      <c r="B141" s="30"/>
      <c r="C141" s="30"/>
      <c r="D141" s="30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</row>
    <row r="142" spans="2:16" x14ac:dyDescent="0.25">
      <c r="B142" s="30"/>
      <c r="C142" s="30"/>
      <c r="D142" s="30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</row>
    <row r="143" spans="2:16" x14ac:dyDescent="0.25">
      <c r="B143" s="30"/>
      <c r="C143" s="30"/>
      <c r="D143" s="30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</row>
    <row r="144" spans="2:16" x14ac:dyDescent="0.25">
      <c r="B144" s="30"/>
      <c r="C144" s="30"/>
      <c r="D144" s="30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</row>
    <row r="145" spans="2:16" x14ac:dyDescent="0.25">
      <c r="B145" s="30"/>
      <c r="C145" s="30"/>
      <c r="D145" s="30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</row>
    <row r="146" spans="2:16" x14ac:dyDescent="0.25">
      <c r="B146" s="30"/>
      <c r="C146" s="30"/>
      <c r="D146" s="30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</row>
    <row r="147" spans="2:16" x14ac:dyDescent="0.25">
      <c r="B147" s="30"/>
      <c r="C147" s="30"/>
      <c r="D147" s="30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</row>
    <row r="148" spans="2:16" x14ac:dyDescent="0.25">
      <c r="B148" s="30"/>
      <c r="C148" s="30"/>
      <c r="D148" s="30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</row>
    <row r="149" spans="2:16" x14ac:dyDescent="0.25">
      <c r="B149" s="30"/>
      <c r="C149" s="30"/>
      <c r="D149" s="30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</row>
    <row r="150" spans="2:16" x14ac:dyDescent="0.25">
      <c r="B150" s="30"/>
      <c r="C150" s="30"/>
      <c r="D150" s="30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</row>
    <row r="151" spans="2:16" x14ac:dyDescent="0.25">
      <c r="B151" s="30"/>
      <c r="C151" s="30"/>
      <c r="D151" s="30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</row>
    <row r="152" spans="2:16" x14ac:dyDescent="0.25">
      <c r="B152" s="30"/>
      <c r="C152" s="30"/>
      <c r="D152" s="30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</row>
    <row r="153" spans="2:16" x14ac:dyDescent="0.25">
      <c r="B153" s="30"/>
      <c r="C153" s="30"/>
      <c r="D153" s="30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</row>
    <row r="154" spans="2:16" x14ac:dyDescent="0.25">
      <c r="B154" s="30"/>
      <c r="C154" s="30"/>
      <c r="D154" s="30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</row>
    <row r="155" spans="2:16" x14ac:dyDescent="0.25">
      <c r="B155" s="30"/>
      <c r="C155" s="30"/>
      <c r="D155" s="30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</row>
    <row r="156" spans="2:16" x14ac:dyDescent="0.25">
      <c r="B156" s="30"/>
      <c r="C156" s="30"/>
      <c r="D156" s="30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</row>
    <row r="157" spans="2:16" x14ac:dyDescent="0.25">
      <c r="B157" s="30"/>
      <c r="C157" s="30"/>
      <c r="D157" s="30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</row>
    <row r="158" spans="2:16" x14ac:dyDescent="0.25">
      <c r="B158" s="30"/>
      <c r="C158" s="30"/>
      <c r="D158" s="30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</row>
    <row r="159" spans="2:16" x14ac:dyDescent="0.25">
      <c r="B159" s="30"/>
      <c r="C159" s="30"/>
      <c r="D159" s="30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</row>
    <row r="160" spans="2:16" x14ac:dyDescent="0.25">
      <c r="B160" s="30"/>
      <c r="C160" s="30"/>
      <c r="D160" s="30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</row>
    <row r="161" spans="2:16" x14ac:dyDescent="0.25">
      <c r="B161" s="30"/>
      <c r="C161" s="30"/>
      <c r="D161" s="30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</row>
    <row r="162" spans="2:16" x14ac:dyDescent="0.25">
      <c r="B162" s="30"/>
      <c r="C162" s="30"/>
      <c r="D162" s="30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</row>
    <row r="163" spans="2:16" x14ac:dyDescent="0.25">
      <c r="B163" s="30"/>
      <c r="C163" s="30"/>
      <c r="D163" s="30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</row>
    <row r="164" spans="2:16" x14ac:dyDescent="0.25">
      <c r="B164" s="30"/>
      <c r="C164" s="30"/>
      <c r="D164" s="30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</row>
    <row r="165" spans="2:16" x14ac:dyDescent="0.25">
      <c r="B165" s="30"/>
      <c r="C165" s="30"/>
      <c r="D165" s="30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</row>
    <row r="166" spans="2:16" x14ac:dyDescent="0.25">
      <c r="B166" s="30"/>
      <c r="C166" s="30"/>
      <c r="D166" s="30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</row>
    <row r="167" spans="2:16" x14ac:dyDescent="0.25">
      <c r="B167" s="30"/>
      <c r="C167" s="30"/>
      <c r="D167" s="30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</row>
    <row r="168" spans="2:16" x14ac:dyDescent="0.25">
      <c r="B168" s="30"/>
      <c r="C168" s="30"/>
      <c r="D168" s="30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</row>
    <row r="169" spans="2:16" x14ac:dyDescent="0.25">
      <c r="B169" s="30"/>
      <c r="C169" s="30"/>
      <c r="D169" s="30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</row>
    <row r="170" spans="2:16" x14ac:dyDescent="0.25">
      <c r="B170" s="30"/>
      <c r="C170" s="30"/>
      <c r="D170" s="30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</row>
    <row r="171" spans="2:16" x14ac:dyDescent="0.25">
      <c r="B171" s="30"/>
      <c r="C171" s="30"/>
      <c r="D171" s="30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</row>
    <row r="172" spans="2:16" x14ac:dyDescent="0.25">
      <c r="B172" s="30"/>
      <c r="C172" s="30"/>
      <c r="D172" s="30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</row>
    <row r="173" spans="2:16" x14ac:dyDescent="0.25">
      <c r="B173" s="30"/>
      <c r="C173" s="30"/>
      <c r="D173" s="30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</row>
    <row r="174" spans="2:16" x14ac:dyDescent="0.25">
      <c r="B174" s="30"/>
      <c r="C174" s="30"/>
      <c r="D174" s="30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</row>
    <row r="175" spans="2:16" x14ac:dyDescent="0.25">
      <c r="B175" s="30"/>
      <c r="C175" s="30"/>
      <c r="D175" s="30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</row>
    <row r="176" spans="2:16" x14ac:dyDescent="0.25">
      <c r="B176" s="30"/>
      <c r="C176" s="30"/>
      <c r="D176" s="30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</row>
    <row r="177" spans="2:16" x14ac:dyDescent="0.25">
      <c r="B177" s="30"/>
      <c r="C177" s="30"/>
      <c r="D177" s="30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</row>
    <row r="178" spans="2:16" x14ac:dyDescent="0.25">
      <c r="B178" s="30"/>
      <c r="C178" s="30"/>
      <c r="D178" s="30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</row>
    <row r="179" spans="2:16" x14ac:dyDescent="0.25">
      <c r="B179" s="30"/>
      <c r="C179" s="30"/>
      <c r="D179" s="30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</row>
    <row r="180" spans="2:16" x14ac:dyDescent="0.25">
      <c r="B180" s="30"/>
      <c r="C180" s="30"/>
      <c r="D180" s="30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</row>
    <row r="181" spans="2:16" x14ac:dyDescent="0.25">
      <c r="B181" s="30"/>
      <c r="C181" s="30"/>
      <c r="D181" s="30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</row>
    <row r="182" spans="2:16" x14ac:dyDescent="0.25">
      <c r="B182" s="30"/>
      <c r="C182" s="30"/>
      <c r="D182" s="30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</row>
    <row r="183" spans="2:16" x14ac:dyDescent="0.25">
      <c r="B183" s="30"/>
      <c r="C183" s="30"/>
      <c r="D183" s="30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</row>
    <row r="184" spans="2:16" x14ac:dyDescent="0.25">
      <c r="B184" s="30"/>
      <c r="C184" s="30"/>
      <c r="D184" s="30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</row>
    <row r="185" spans="2:16" x14ac:dyDescent="0.25">
      <c r="B185" s="30"/>
      <c r="C185" s="30"/>
      <c r="D185" s="30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</row>
    <row r="186" spans="2:16" x14ac:dyDescent="0.25">
      <c r="B186" s="30"/>
      <c r="C186" s="30"/>
      <c r="D186" s="30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</row>
    <row r="187" spans="2:16" x14ac:dyDescent="0.25">
      <c r="B187" s="30"/>
      <c r="C187" s="30"/>
      <c r="D187" s="30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</row>
    <row r="188" spans="2:16" x14ac:dyDescent="0.25">
      <c r="B188" s="30"/>
      <c r="C188" s="30"/>
      <c r="D188" s="30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</row>
    <row r="189" spans="2:16" x14ac:dyDescent="0.25">
      <c r="B189" s="30"/>
      <c r="C189" s="30"/>
      <c r="D189" s="30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</row>
    <row r="190" spans="2:16" x14ac:dyDescent="0.25">
      <c r="B190" s="30"/>
      <c r="C190" s="30"/>
      <c r="D190" s="30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</row>
    <row r="191" spans="2:16" x14ac:dyDescent="0.25">
      <c r="B191" s="30"/>
      <c r="C191" s="30"/>
      <c r="D191" s="30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</row>
    <row r="192" spans="2:16" x14ac:dyDescent="0.25">
      <c r="B192" s="30"/>
      <c r="C192" s="30"/>
      <c r="D192" s="30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</row>
    <row r="193" spans="2:16" x14ac:dyDescent="0.25">
      <c r="B193" s="30"/>
      <c r="C193" s="30"/>
      <c r="D193" s="30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</row>
    <row r="194" spans="2:16" x14ac:dyDescent="0.25">
      <c r="B194" s="30"/>
      <c r="C194" s="30"/>
      <c r="D194" s="30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</row>
    <row r="195" spans="2:16" x14ac:dyDescent="0.25">
      <c r="B195" s="30"/>
      <c r="C195" s="30"/>
      <c r="D195" s="30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</row>
    <row r="196" spans="2:16" x14ac:dyDescent="0.25">
      <c r="B196" s="30"/>
      <c r="C196" s="30"/>
      <c r="D196" s="30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</row>
    <row r="197" spans="2:16" x14ac:dyDescent="0.25">
      <c r="B197" s="30"/>
      <c r="C197" s="30"/>
      <c r="D197" s="30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</row>
    <row r="198" spans="2:16" x14ac:dyDescent="0.25">
      <c r="B198" s="30"/>
      <c r="C198" s="30"/>
      <c r="D198" s="30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</row>
    <row r="199" spans="2:16" x14ac:dyDescent="0.25">
      <c r="B199" s="30"/>
      <c r="C199" s="30"/>
      <c r="D199" s="30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</row>
    <row r="200" spans="2:16" x14ac:dyDescent="0.25">
      <c r="B200" s="30"/>
      <c r="C200" s="30"/>
      <c r="D200" s="30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</row>
    <row r="201" spans="2:16" x14ac:dyDescent="0.25">
      <c r="B201" s="30"/>
      <c r="C201" s="30"/>
      <c r="D201" s="30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</row>
    <row r="202" spans="2:16" x14ac:dyDescent="0.25">
      <c r="B202" s="30"/>
      <c r="C202" s="30"/>
      <c r="D202" s="30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</row>
    <row r="203" spans="2:16" x14ac:dyDescent="0.25">
      <c r="B203" s="30"/>
      <c r="C203" s="30"/>
      <c r="D203" s="30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</row>
    <row r="204" spans="2:16" x14ac:dyDescent="0.25">
      <c r="B204" s="30"/>
      <c r="C204" s="30"/>
      <c r="D204" s="30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</row>
    <row r="205" spans="2:16" x14ac:dyDescent="0.25">
      <c r="B205" s="30"/>
      <c r="C205" s="30"/>
      <c r="D205" s="30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</row>
    <row r="206" spans="2:16" x14ac:dyDescent="0.25">
      <c r="B206" s="30"/>
      <c r="C206" s="30"/>
      <c r="D206" s="30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</row>
    <row r="207" spans="2:16" x14ac:dyDescent="0.25">
      <c r="B207" s="30"/>
      <c r="C207" s="30"/>
      <c r="D207" s="30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</row>
    <row r="208" spans="2:16" x14ac:dyDescent="0.25">
      <c r="B208" s="30"/>
      <c r="C208" s="30"/>
      <c r="D208" s="30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</row>
    <row r="209" spans="2:16" x14ac:dyDescent="0.25">
      <c r="B209" s="30"/>
      <c r="C209" s="30"/>
      <c r="D209" s="30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</row>
    <row r="210" spans="2:16" x14ac:dyDescent="0.25">
      <c r="B210" s="30"/>
      <c r="C210" s="30"/>
      <c r="D210" s="30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</row>
    <row r="211" spans="2:16" x14ac:dyDescent="0.25">
      <c r="B211" s="30"/>
      <c r="C211" s="30"/>
      <c r="D211" s="30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</row>
    <row r="212" spans="2:16" x14ac:dyDescent="0.25">
      <c r="B212" s="30"/>
      <c r="C212" s="30"/>
      <c r="D212" s="30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</row>
    <row r="213" spans="2:16" x14ac:dyDescent="0.25">
      <c r="B213" s="30"/>
      <c r="C213" s="30"/>
      <c r="D213" s="30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</row>
    <row r="214" spans="2:16" x14ac:dyDescent="0.25">
      <c r="B214" s="30"/>
      <c r="C214" s="30"/>
      <c r="D214" s="30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</row>
    <row r="215" spans="2:16" x14ac:dyDescent="0.25">
      <c r="B215" s="30"/>
      <c r="C215" s="30"/>
      <c r="D215" s="30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</row>
    <row r="216" spans="2:16" x14ac:dyDescent="0.25">
      <c r="B216" s="30"/>
      <c r="C216" s="30"/>
      <c r="D216" s="30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</row>
    <row r="217" spans="2:16" x14ac:dyDescent="0.25">
      <c r="B217" s="30"/>
      <c r="C217" s="30"/>
      <c r="D217" s="30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</row>
    <row r="218" spans="2:16" x14ac:dyDescent="0.25">
      <c r="B218" s="30"/>
      <c r="C218" s="30"/>
      <c r="D218" s="30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</row>
    <row r="219" spans="2:16" x14ac:dyDescent="0.25">
      <c r="B219" s="30"/>
      <c r="C219" s="30"/>
      <c r="D219" s="30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</row>
    <row r="220" spans="2:16" x14ac:dyDescent="0.25">
      <c r="B220" s="30"/>
      <c r="C220" s="30"/>
      <c r="D220" s="30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</row>
    <row r="221" spans="2:16" x14ac:dyDescent="0.25">
      <c r="B221" s="30"/>
      <c r="C221" s="30"/>
      <c r="D221" s="30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</row>
    <row r="222" spans="2:16" x14ac:dyDescent="0.25">
      <c r="B222" s="30"/>
      <c r="C222" s="30"/>
      <c r="D222" s="30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</row>
    <row r="223" spans="2:16" x14ac:dyDescent="0.25">
      <c r="B223" s="30"/>
      <c r="C223" s="30"/>
      <c r="D223" s="30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</row>
    <row r="224" spans="2:16" x14ac:dyDescent="0.25">
      <c r="B224" s="30"/>
      <c r="C224" s="30"/>
      <c r="D224" s="30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</row>
    <row r="225" spans="2:16" x14ac:dyDescent="0.25">
      <c r="B225" s="30"/>
      <c r="C225" s="30"/>
      <c r="D225" s="30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</row>
    <row r="226" spans="2:16" x14ac:dyDescent="0.25">
      <c r="B226" s="30"/>
      <c r="C226" s="30"/>
      <c r="D226" s="30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</row>
    <row r="227" spans="2:16" x14ac:dyDescent="0.25">
      <c r="B227" s="30"/>
      <c r="C227" s="30"/>
      <c r="D227" s="30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</row>
    <row r="228" spans="2:16" x14ac:dyDescent="0.25">
      <c r="B228" s="30"/>
      <c r="C228" s="30"/>
      <c r="D228" s="30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</row>
    <row r="229" spans="2:16" x14ac:dyDescent="0.25">
      <c r="B229" s="30"/>
      <c r="C229" s="30"/>
      <c r="D229" s="30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</row>
    <row r="230" spans="2:16" x14ac:dyDescent="0.25">
      <c r="B230" s="30"/>
      <c r="C230" s="30"/>
      <c r="D230" s="30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</row>
    <row r="231" spans="2:16" x14ac:dyDescent="0.25">
      <c r="B231" s="30"/>
      <c r="C231" s="30"/>
      <c r="D231" s="30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</row>
    <row r="232" spans="2:16" x14ac:dyDescent="0.25">
      <c r="B232" s="30"/>
      <c r="C232" s="30"/>
      <c r="D232" s="30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</row>
    <row r="233" spans="2:16" x14ac:dyDescent="0.25">
      <c r="B233" s="30"/>
      <c r="C233" s="30"/>
      <c r="D233" s="30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</row>
    <row r="234" spans="2:16" x14ac:dyDescent="0.25">
      <c r="B234" s="30"/>
      <c r="C234" s="30"/>
      <c r="D234" s="30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</row>
    <row r="235" spans="2:16" x14ac:dyDescent="0.25">
      <c r="B235" s="30"/>
      <c r="C235" s="30"/>
      <c r="D235" s="30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</row>
    <row r="236" spans="2:16" x14ac:dyDescent="0.25">
      <c r="B236" s="30"/>
      <c r="C236" s="30"/>
      <c r="D236" s="30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</row>
    <row r="237" spans="2:16" x14ac:dyDescent="0.25">
      <c r="B237" s="30"/>
      <c r="C237" s="30"/>
      <c r="D237" s="30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</row>
    <row r="238" spans="2:16" x14ac:dyDescent="0.25">
      <c r="B238" s="30"/>
      <c r="C238" s="30"/>
      <c r="D238" s="30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</row>
    <row r="239" spans="2:16" x14ac:dyDescent="0.25">
      <c r="B239" s="30"/>
      <c r="C239" s="30"/>
      <c r="D239" s="30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</row>
    <row r="240" spans="2:16" x14ac:dyDescent="0.25">
      <c r="B240" s="30"/>
      <c r="C240" s="30"/>
      <c r="D240" s="30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</row>
    <row r="241" spans="2:16" x14ac:dyDescent="0.25">
      <c r="B241" s="30"/>
      <c r="C241" s="30"/>
      <c r="D241" s="30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</row>
    <row r="242" spans="2:16" x14ac:dyDescent="0.25">
      <c r="B242" s="30"/>
      <c r="C242" s="30"/>
      <c r="D242" s="30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</row>
    <row r="243" spans="2:16" x14ac:dyDescent="0.25">
      <c r="B243" s="30"/>
      <c r="C243" s="30"/>
      <c r="D243" s="30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</row>
    <row r="244" spans="2:16" x14ac:dyDescent="0.25">
      <c r="B244" s="30"/>
      <c r="C244" s="30"/>
      <c r="D244" s="30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</row>
    <row r="245" spans="2:16" x14ac:dyDescent="0.25">
      <c r="B245" s="30"/>
      <c r="C245" s="30"/>
      <c r="D245" s="30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</row>
    <row r="246" spans="2:16" x14ac:dyDescent="0.25">
      <c r="B246" s="30"/>
      <c r="C246" s="30"/>
      <c r="D246" s="30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</row>
    <row r="247" spans="2:16" x14ac:dyDescent="0.25">
      <c r="B247" s="30"/>
      <c r="C247" s="30"/>
      <c r="D247" s="30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</row>
    <row r="248" spans="2:16" x14ac:dyDescent="0.25">
      <c r="B248" s="30"/>
      <c r="C248" s="30"/>
      <c r="D248" s="30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</row>
    <row r="249" spans="2:16" x14ac:dyDescent="0.25">
      <c r="B249" s="30"/>
      <c r="C249" s="30"/>
      <c r="D249" s="30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</row>
    <row r="250" spans="2:16" x14ac:dyDescent="0.25">
      <c r="B250" s="30"/>
      <c r="C250" s="30"/>
      <c r="D250" s="30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</row>
    <row r="251" spans="2:16" x14ac:dyDescent="0.25">
      <c r="B251" s="30"/>
      <c r="C251" s="30"/>
      <c r="D251" s="30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</row>
    <row r="252" spans="2:16" x14ac:dyDescent="0.25">
      <c r="B252" s="30"/>
      <c r="C252" s="30"/>
      <c r="D252" s="30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</row>
    <row r="253" spans="2:16" x14ac:dyDescent="0.25">
      <c r="B253" s="30"/>
      <c r="C253" s="30"/>
      <c r="D253" s="30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</row>
    <row r="254" spans="2:16" x14ac:dyDescent="0.25">
      <c r="B254" s="30"/>
      <c r="C254" s="30"/>
      <c r="D254" s="30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</row>
    <row r="255" spans="2:16" x14ac:dyDescent="0.25">
      <c r="B255" s="30"/>
      <c r="C255" s="30"/>
      <c r="D255" s="30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</row>
    <row r="256" spans="2:16" x14ac:dyDescent="0.25">
      <c r="B256" s="30"/>
      <c r="C256" s="30"/>
      <c r="D256" s="30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</row>
    <row r="257" spans="2:16" x14ac:dyDescent="0.25">
      <c r="B257" s="30"/>
      <c r="C257" s="30"/>
      <c r="D257" s="30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</row>
    <row r="258" spans="2:16" x14ac:dyDescent="0.25">
      <c r="B258" s="30"/>
      <c r="C258" s="30"/>
      <c r="D258" s="30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</row>
    <row r="259" spans="2:16" x14ac:dyDescent="0.25">
      <c r="B259" s="30"/>
      <c r="C259" s="30"/>
      <c r="D259" s="30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</row>
    <row r="260" spans="2:16" x14ac:dyDescent="0.25">
      <c r="B260" s="30"/>
      <c r="C260" s="30"/>
      <c r="D260" s="30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</row>
    <row r="261" spans="2:16" x14ac:dyDescent="0.25">
      <c r="B261" s="30"/>
      <c r="C261" s="30"/>
      <c r="D261" s="30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</row>
    <row r="262" spans="2:16" x14ac:dyDescent="0.25">
      <c r="B262" s="30"/>
      <c r="C262" s="30"/>
      <c r="D262" s="30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</row>
    <row r="263" spans="2:16" x14ac:dyDescent="0.25">
      <c r="B263" s="30"/>
      <c r="C263" s="30"/>
      <c r="D263" s="30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</row>
    <row r="264" spans="2:16" x14ac:dyDescent="0.25">
      <c r="B264" s="30"/>
      <c r="C264" s="30"/>
      <c r="D264" s="30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</row>
    <row r="265" spans="2:16" x14ac:dyDescent="0.25">
      <c r="B265" s="30"/>
      <c r="C265" s="30"/>
      <c r="D265" s="30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</row>
    <row r="266" spans="2:16" x14ac:dyDescent="0.25">
      <c r="B266" s="30"/>
      <c r="C266" s="30"/>
      <c r="D266" s="30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</row>
    <row r="267" spans="2:16" x14ac:dyDescent="0.25">
      <c r="B267" s="30"/>
      <c r="C267" s="30"/>
      <c r="D267" s="30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</row>
    <row r="268" spans="2:16" x14ac:dyDescent="0.25">
      <c r="B268" s="30"/>
      <c r="C268" s="30"/>
      <c r="D268" s="30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</row>
    <row r="269" spans="2:16" x14ac:dyDescent="0.25">
      <c r="B269" s="30"/>
      <c r="C269" s="30"/>
      <c r="D269" s="30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</row>
    <row r="270" spans="2:16" x14ac:dyDescent="0.25">
      <c r="B270" s="30"/>
      <c r="C270" s="30"/>
      <c r="D270" s="30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</row>
    <row r="271" spans="2:16" x14ac:dyDescent="0.25">
      <c r="B271" s="30"/>
      <c r="C271" s="30"/>
      <c r="D271" s="30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</row>
    <row r="272" spans="2:16" x14ac:dyDescent="0.25">
      <c r="B272" s="30"/>
      <c r="C272" s="30"/>
      <c r="D272" s="30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</row>
    <row r="273" spans="2:16" x14ac:dyDescent="0.25">
      <c r="B273" s="30"/>
      <c r="C273" s="30"/>
      <c r="D273" s="30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</row>
    <row r="274" spans="2:16" x14ac:dyDescent="0.25">
      <c r="B274" s="30"/>
      <c r="C274" s="30"/>
      <c r="D274" s="30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</row>
    <row r="275" spans="2:16" x14ac:dyDescent="0.25">
      <c r="B275" s="30"/>
      <c r="C275" s="30"/>
      <c r="D275" s="30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</row>
    <row r="276" spans="2:16" x14ac:dyDescent="0.25">
      <c r="B276" s="30"/>
      <c r="C276" s="30"/>
      <c r="D276" s="30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</row>
    <row r="277" spans="2:16" x14ac:dyDescent="0.25">
      <c r="B277" s="30"/>
      <c r="C277" s="30"/>
      <c r="D277" s="30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</row>
    <row r="278" spans="2:16" x14ac:dyDescent="0.25">
      <c r="B278" s="30"/>
      <c r="C278" s="30"/>
      <c r="D278" s="30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</row>
    <row r="279" spans="2:16" x14ac:dyDescent="0.25">
      <c r="B279" s="30"/>
      <c r="C279" s="30"/>
      <c r="D279" s="30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</row>
    <row r="280" spans="2:16" x14ac:dyDescent="0.25">
      <c r="B280" s="30"/>
      <c r="C280" s="30"/>
      <c r="D280" s="30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</row>
    <row r="281" spans="2:16" x14ac:dyDescent="0.25">
      <c r="B281" s="30"/>
      <c r="C281" s="30"/>
      <c r="D281" s="30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</row>
    <row r="282" spans="2:16" x14ac:dyDescent="0.25">
      <c r="B282" s="30"/>
      <c r="C282" s="30"/>
      <c r="D282" s="30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</row>
    <row r="283" spans="2:16" x14ac:dyDescent="0.25">
      <c r="B283" s="30"/>
      <c r="C283" s="30"/>
      <c r="D283" s="30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</row>
    <row r="284" spans="2:16" x14ac:dyDescent="0.25">
      <c r="B284" s="30"/>
      <c r="C284" s="30"/>
      <c r="D284" s="30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</row>
    <row r="285" spans="2:16" x14ac:dyDescent="0.25">
      <c r="B285" s="30"/>
      <c r="C285" s="30"/>
      <c r="D285" s="30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</row>
    <row r="286" spans="2:16" x14ac:dyDescent="0.25">
      <c r="B286" s="30"/>
      <c r="C286" s="30"/>
      <c r="D286" s="30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</row>
    <row r="287" spans="2:16" x14ac:dyDescent="0.25">
      <c r="B287" s="30"/>
      <c r="C287" s="30"/>
      <c r="D287" s="30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</row>
    <row r="288" spans="2:16" x14ac:dyDescent="0.25">
      <c r="B288" s="30"/>
      <c r="C288" s="30"/>
      <c r="D288" s="30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</row>
    <row r="289" spans="2:16" x14ac:dyDescent="0.25">
      <c r="B289" s="30"/>
      <c r="C289" s="30"/>
      <c r="D289" s="30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</row>
    <row r="290" spans="2:16" x14ac:dyDescent="0.25">
      <c r="B290" s="30"/>
      <c r="C290" s="30"/>
      <c r="D290" s="30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</row>
    <row r="291" spans="2:16" x14ac:dyDescent="0.25">
      <c r="B291" s="30"/>
      <c r="C291" s="30"/>
      <c r="D291" s="30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</row>
    <row r="292" spans="2:16" x14ac:dyDescent="0.25">
      <c r="B292" s="30"/>
      <c r="C292" s="30"/>
      <c r="D292" s="30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</row>
    <row r="293" spans="2:16" x14ac:dyDescent="0.25">
      <c r="B293" s="30"/>
      <c r="C293" s="30"/>
      <c r="D293" s="30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</row>
    <row r="294" spans="2:16" x14ac:dyDescent="0.25">
      <c r="B294" s="30"/>
      <c r="C294" s="30"/>
      <c r="D294" s="30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</row>
    <row r="295" spans="2:16" x14ac:dyDescent="0.25">
      <c r="B295" s="30"/>
      <c r="C295" s="30"/>
      <c r="D295" s="30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</row>
    <row r="296" spans="2:16" x14ac:dyDescent="0.25">
      <c r="B296" s="30"/>
      <c r="C296" s="30"/>
      <c r="D296" s="30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</row>
    <row r="297" spans="2:16" x14ac:dyDescent="0.25">
      <c r="B297" s="30"/>
      <c r="C297" s="30"/>
      <c r="D297" s="30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</row>
    <row r="298" spans="2:16" x14ac:dyDescent="0.25">
      <c r="B298" s="30"/>
      <c r="C298" s="30"/>
      <c r="D298" s="30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</row>
    <row r="299" spans="2:16" x14ac:dyDescent="0.25">
      <c r="B299" s="30"/>
      <c r="C299" s="30"/>
      <c r="D299" s="30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</row>
    <row r="300" spans="2:16" x14ac:dyDescent="0.25">
      <c r="B300" s="30"/>
      <c r="C300" s="30"/>
      <c r="D300" s="30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</row>
    <row r="301" spans="2:16" x14ac:dyDescent="0.25">
      <c r="B301" s="30"/>
      <c r="C301" s="30"/>
      <c r="D301" s="30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</row>
    <row r="302" spans="2:16" x14ac:dyDescent="0.25">
      <c r="B302" s="30"/>
      <c r="C302" s="30"/>
      <c r="D302" s="30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</row>
    <row r="303" spans="2:16" x14ac:dyDescent="0.25">
      <c r="B303" s="30"/>
      <c r="C303" s="30"/>
      <c r="D303" s="30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</row>
    <row r="304" spans="2:16" x14ac:dyDescent="0.25">
      <c r="B304" s="30"/>
      <c r="C304" s="30"/>
      <c r="D304" s="30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</row>
    <row r="305" spans="2:16" x14ac:dyDescent="0.25">
      <c r="B305" s="30"/>
      <c r="C305" s="30"/>
      <c r="D305" s="30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</row>
    <row r="306" spans="2:16" x14ac:dyDescent="0.25">
      <c r="B306" s="30"/>
      <c r="C306" s="30"/>
      <c r="D306" s="30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</row>
    <row r="307" spans="2:16" x14ac:dyDescent="0.25">
      <c r="B307" s="30"/>
      <c r="C307" s="30"/>
      <c r="D307" s="30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</row>
    <row r="308" spans="2:16" x14ac:dyDescent="0.25">
      <c r="B308" s="30"/>
      <c r="C308" s="30"/>
      <c r="D308" s="30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</row>
    <row r="309" spans="2:16" x14ac:dyDescent="0.25">
      <c r="B309" s="30"/>
      <c r="C309" s="30"/>
      <c r="D309" s="30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</row>
    <row r="310" spans="2:16" x14ac:dyDescent="0.25">
      <c r="B310" s="30"/>
      <c r="C310" s="30"/>
      <c r="D310" s="30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</row>
    <row r="311" spans="2:16" x14ac:dyDescent="0.25">
      <c r="B311" s="30"/>
      <c r="C311" s="30"/>
      <c r="D311" s="30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</row>
    <row r="312" spans="2:16" x14ac:dyDescent="0.25">
      <c r="B312" s="30"/>
      <c r="C312" s="30"/>
      <c r="D312" s="30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</row>
    <row r="313" spans="2:16" x14ac:dyDescent="0.25">
      <c r="B313" s="30"/>
      <c r="C313" s="30"/>
      <c r="D313" s="30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</row>
    <row r="314" spans="2:16" x14ac:dyDescent="0.25">
      <c r="B314" s="30"/>
      <c r="C314" s="30"/>
      <c r="D314" s="30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</row>
    <row r="315" spans="2:16" x14ac:dyDescent="0.25">
      <c r="B315" s="30"/>
      <c r="C315" s="30"/>
      <c r="D315" s="30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</row>
    <row r="316" spans="2:16" x14ac:dyDescent="0.25">
      <c r="B316" s="30"/>
      <c r="C316" s="30"/>
      <c r="D316" s="30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</row>
    <row r="317" spans="2:16" x14ac:dyDescent="0.25">
      <c r="B317" s="30"/>
      <c r="C317" s="30"/>
      <c r="D317" s="30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</row>
    <row r="318" spans="2:16" x14ac:dyDescent="0.25">
      <c r="B318" s="30"/>
      <c r="C318" s="30"/>
      <c r="D318" s="30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</row>
    <row r="319" spans="2:16" x14ac:dyDescent="0.25">
      <c r="B319" s="30"/>
      <c r="C319" s="30"/>
      <c r="D319" s="30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</row>
    <row r="320" spans="2:16" x14ac:dyDescent="0.25">
      <c r="B320" s="30"/>
      <c r="C320" s="30"/>
      <c r="D320" s="30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</row>
    <row r="321" spans="2:16" x14ac:dyDescent="0.25">
      <c r="B321" s="30"/>
      <c r="C321" s="30"/>
      <c r="D321" s="30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</row>
    <row r="322" spans="2:16" x14ac:dyDescent="0.25">
      <c r="B322" s="30"/>
      <c r="C322" s="30"/>
      <c r="D322" s="30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</row>
    <row r="323" spans="2:16" x14ac:dyDescent="0.25">
      <c r="B323" s="30"/>
      <c r="C323" s="30"/>
      <c r="D323" s="30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</row>
    <row r="324" spans="2:16" x14ac:dyDescent="0.25">
      <c r="B324" s="30"/>
      <c r="C324" s="30"/>
      <c r="D324" s="30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</row>
    <row r="325" spans="2:16" x14ac:dyDescent="0.25">
      <c r="B325" s="30"/>
      <c r="C325" s="30"/>
      <c r="D325" s="30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</row>
    <row r="326" spans="2:16" x14ac:dyDescent="0.25">
      <c r="B326" s="30"/>
      <c r="C326" s="30"/>
      <c r="D326" s="30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</row>
    <row r="327" spans="2:16" x14ac:dyDescent="0.25">
      <c r="B327" s="30"/>
      <c r="C327" s="30"/>
      <c r="D327" s="30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</row>
    <row r="328" spans="2:16" x14ac:dyDescent="0.25">
      <c r="B328" s="30"/>
      <c r="C328" s="30"/>
      <c r="D328" s="30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</row>
    <row r="329" spans="2:16" x14ac:dyDescent="0.25">
      <c r="B329" s="30"/>
      <c r="C329" s="30"/>
      <c r="D329" s="30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</row>
    <row r="330" spans="2:16" x14ac:dyDescent="0.25">
      <c r="B330" s="30"/>
      <c r="C330" s="30"/>
      <c r="D330" s="30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</row>
    <row r="331" spans="2:16" x14ac:dyDescent="0.25">
      <c r="B331" s="30"/>
      <c r="C331" s="30"/>
      <c r="D331" s="30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</row>
    <row r="332" spans="2:16" x14ac:dyDescent="0.25">
      <c r="B332" s="30"/>
      <c r="C332" s="30"/>
      <c r="D332" s="30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</row>
    <row r="333" spans="2:16" x14ac:dyDescent="0.25">
      <c r="B333" s="30"/>
      <c r="C333" s="30"/>
      <c r="D333" s="30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</row>
    <row r="334" spans="2:16" x14ac:dyDescent="0.25">
      <c r="B334" s="30"/>
      <c r="C334" s="30"/>
      <c r="D334" s="30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</row>
    <row r="335" spans="2:16" x14ac:dyDescent="0.25">
      <c r="B335" s="30"/>
      <c r="C335" s="30"/>
      <c r="D335" s="30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</row>
    <row r="336" spans="2:16" x14ac:dyDescent="0.25">
      <c r="B336" s="30"/>
      <c r="C336" s="30"/>
      <c r="D336" s="30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</row>
    <row r="337" spans="2:16" x14ac:dyDescent="0.25">
      <c r="B337" s="30"/>
      <c r="C337" s="30"/>
      <c r="D337" s="30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</row>
    <row r="338" spans="2:16" x14ac:dyDescent="0.25">
      <c r="B338" s="30"/>
      <c r="C338" s="30"/>
      <c r="D338" s="30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</row>
    <row r="339" spans="2:16" x14ac:dyDescent="0.25">
      <c r="B339" s="30"/>
      <c r="C339" s="30"/>
      <c r="D339" s="30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</row>
    <row r="340" spans="2:16" x14ac:dyDescent="0.25">
      <c r="B340" s="30"/>
      <c r="C340" s="30"/>
      <c r="D340" s="30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</row>
    <row r="341" spans="2:16" x14ac:dyDescent="0.25">
      <c r="B341" s="30"/>
      <c r="C341" s="30"/>
      <c r="D341" s="30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</row>
    <row r="342" spans="2:16" x14ac:dyDescent="0.25">
      <c r="B342" s="30"/>
      <c r="C342" s="30"/>
      <c r="D342" s="30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</row>
    <row r="343" spans="2:16" x14ac:dyDescent="0.25">
      <c r="B343" s="30"/>
      <c r="C343" s="30"/>
      <c r="D343" s="30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</row>
    <row r="344" spans="2:16" x14ac:dyDescent="0.25">
      <c r="B344" s="30"/>
      <c r="C344" s="30"/>
      <c r="D344" s="30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</row>
    <row r="345" spans="2:16" x14ac:dyDescent="0.25">
      <c r="B345" s="30"/>
      <c r="C345" s="30"/>
      <c r="D345" s="30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</row>
    <row r="346" spans="2:16" x14ac:dyDescent="0.25">
      <c r="B346" s="30"/>
      <c r="C346" s="30"/>
      <c r="D346" s="30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</row>
    <row r="347" spans="2:16" x14ac:dyDescent="0.25">
      <c r="B347" s="30"/>
      <c r="C347" s="30"/>
      <c r="D347" s="30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</row>
    <row r="348" spans="2:16" x14ac:dyDescent="0.25">
      <c r="B348" s="30"/>
      <c r="C348" s="30"/>
      <c r="D348" s="30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</row>
    <row r="349" spans="2:16" x14ac:dyDescent="0.25">
      <c r="B349" s="30"/>
      <c r="C349" s="30"/>
      <c r="D349" s="30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</row>
    <row r="350" spans="2:16" x14ac:dyDescent="0.25">
      <c r="B350" s="30"/>
      <c r="C350" s="30"/>
      <c r="D350" s="30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</row>
    <row r="351" spans="2:16" x14ac:dyDescent="0.25">
      <c r="B351" s="30"/>
      <c r="C351" s="30"/>
      <c r="D351" s="30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</row>
    <row r="352" spans="2:16" x14ac:dyDescent="0.25">
      <c r="B352" s="30"/>
      <c r="C352" s="30"/>
      <c r="D352" s="30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</row>
    <row r="353" spans="2:16" x14ac:dyDescent="0.25">
      <c r="B353" s="30"/>
      <c r="C353" s="30"/>
      <c r="D353" s="30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</row>
    <row r="354" spans="2:16" x14ac:dyDescent="0.25">
      <c r="B354" s="30"/>
      <c r="C354" s="30"/>
      <c r="D354" s="30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</row>
    <row r="355" spans="2:16" x14ac:dyDescent="0.25">
      <c r="B355" s="30"/>
      <c r="C355" s="30"/>
      <c r="D355" s="30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</row>
    <row r="356" spans="2:16" x14ac:dyDescent="0.25">
      <c r="B356" s="30"/>
      <c r="C356" s="30"/>
      <c r="D356" s="30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</row>
    <row r="357" spans="2:16" x14ac:dyDescent="0.25">
      <c r="B357" s="30"/>
      <c r="C357" s="30"/>
      <c r="D357" s="30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</row>
    <row r="358" spans="2:16" x14ac:dyDescent="0.25">
      <c r="B358" s="30"/>
      <c r="C358" s="30"/>
      <c r="D358" s="30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</row>
    <row r="359" spans="2:16" x14ac:dyDescent="0.25">
      <c r="B359" s="30"/>
      <c r="C359" s="30"/>
      <c r="D359" s="30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</row>
    <row r="360" spans="2:16" x14ac:dyDescent="0.25">
      <c r="B360" s="30"/>
      <c r="C360" s="30"/>
      <c r="D360" s="30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</row>
    <row r="361" spans="2:16" x14ac:dyDescent="0.25">
      <c r="B361" s="30"/>
      <c r="C361" s="30"/>
      <c r="D361" s="30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</row>
    <row r="362" spans="2:16" x14ac:dyDescent="0.25">
      <c r="B362" s="30"/>
      <c r="C362" s="30"/>
      <c r="D362" s="30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</row>
    <row r="363" spans="2:16" x14ac:dyDescent="0.25">
      <c r="B363" s="30"/>
      <c r="C363" s="30"/>
      <c r="D363" s="30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</row>
    <row r="364" spans="2:16" x14ac:dyDescent="0.25">
      <c r="B364" s="30"/>
      <c r="C364" s="30"/>
      <c r="D364" s="30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</row>
    <row r="365" spans="2:16" x14ac:dyDescent="0.25">
      <c r="B365" s="30"/>
      <c r="C365" s="30"/>
      <c r="D365" s="30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</row>
    <row r="366" spans="2:16" x14ac:dyDescent="0.25">
      <c r="B366" s="30"/>
      <c r="C366" s="30"/>
      <c r="D366" s="30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</row>
    <row r="367" spans="2:16" x14ac:dyDescent="0.25">
      <c r="B367" s="30"/>
      <c r="C367" s="30"/>
      <c r="D367" s="30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</row>
    <row r="368" spans="2:16" x14ac:dyDescent="0.25">
      <c r="B368" s="30"/>
      <c r="C368" s="30"/>
      <c r="D368" s="30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</row>
    <row r="369" spans="2:16" x14ac:dyDescent="0.25">
      <c r="B369" s="30"/>
      <c r="C369" s="30"/>
      <c r="D369" s="30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</row>
    <row r="370" spans="2:16" x14ac:dyDescent="0.25">
      <c r="B370" s="30"/>
      <c r="C370" s="30"/>
      <c r="D370" s="30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</row>
    <row r="371" spans="2:16" x14ac:dyDescent="0.25">
      <c r="B371" s="30"/>
      <c r="C371" s="30"/>
      <c r="D371" s="30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</row>
    <row r="372" spans="2:16" x14ac:dyDescent="0.25">
      <c r="B372" s="30"/>
      <c r="C372" s="30"/>
      <c r="D372" s="30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</row>
    <row r="373" spans="2:16" x14ac:dyDescent="0.25">
      <c r="B373" s="30"/>
      <c r="C373" s="30"/>
      <c r="D373" s="30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</row>
    <row r="374" spans="2:16" x14ac:dyDescent="0.25">
      <c r="B374" s="30"/>
      <c r="C374" s="30"/>
      <c r="D374" s="30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</row>
    <row r="375" spans="2:16" x14ac:dyDescent="0.25">
      <c r="B375" s="30"/>
      <c r="C375" s="30"/>
      <c r="D375" s="30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</row>
    <row r="376" spans="2:16" x14ac:dyDescent="0.25">
      <c r="B376" s="30"/>
      <c r="C376" s="30"/>
      <c r="D376" s="30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</row>
    <row r="377" spans="2:16" x14ac:dyDescent="0.25">
      <c r="B377" s="30"/>
      <c r="C377" s="30"/>
      <c r="D377" s="30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</row>
    <row r="378" spans="2:16" x14ac:dyDescent="0.25">
      <c r="B378" s="30"/>
      <c r="C378" s="30"/>
      <c r="D378" s="30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</row>
    <row r="379" spans="2:16" x14ac:dyDescent="0.25">
      <c r="B379" s="30"/>
      <c r="C379" s="30"/>
      <c r="D379" s="30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</row>
    <row r="380" spans="2:16" x14ac:dyDescent="0.25">
      <c r="B380" s="30"/>
      <c r="C380" s="30"/>
      <c r="D380" s="30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</row>
    <row r="381" spans="2:16" x14ac:dyDescent="0.25">
      <c r="B381" s="30"/>
      <c r="C381" s="30"/>
      <c r="D381" s="30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</row>
    <row r="382" spans="2:16" x14ac:dyDescent="0.25">
      <c r="B382" s="30"/>
      <c r="C382" s="30"/>
      <c r="D382" s="30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</row>
    <row r="383" spans="2:16" x14ac:dyDescent="0.25">
      <c r="B383" s="30"/>
      <c r="C383" s="30"/>
      <c r="D383" s="30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</row>
    <row r="384" spans="2:16" x14ac:dyDescent="0.25">
      <c r="B384" s="30"/>
      <c r="C384" s="30"/>
      <c r="D384" s="30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</row>
    <row r="385" spans="2:16" x14ac:dyDescent="0.25">
      <c r="B385" s="30"/>
      <c r="C385" s="30"/>
      <c r="D385" s="30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</row>
    <row r="386" spans="2:16" x14ac:dyDescent="0.25">
      <c r="B386" s="30"/>
      <c r="C386" s="30"/>
      <c r="D386" s="30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</row>
    <row r="387" spans="2:16" x14ac:dyDescent="0.25">
      <c r="B387" s="30"/>
      <c r="C387" s="30"/>
      <c r="D387" s="30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</row>
    <row r="388" spans="2:16" x14ac:dyDescent="0.25">
      <c r="B388" s="30"/>
      <c r="C388" s="30"/>
      <c r="D388" s="30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</row>
    <row r="389" spans="2:16" x14ac:dyDescent="0.25">
      <c r="B389" s="30"/>
      <c r="C389" s="30"/>
      <c r="D389" s="30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</row>
    <row r="390" spans="2:16" x14ac:dyDescent="0.25">
      <c r="B390" s="30"/>
      <c r="C390" s="30"/>
      <c r="D390" s="30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</row>
    <row r="391" spans="2:16" x14ac:dyDescent="0.25">
      <c r="B391" s="30"/>
      <c r="C391" s="30"/>
      <c r="D391" s="30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</row>
    <row r="392" spans="2:16" x14ac:dyDescent="0.25">
      <c r="B392" s="30"/>
      <c r="C392" s="30"/>
      <c r="D392" s="30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</row>
    <row r="393" spans="2:16" x14ac:dyDescent="0.25">
      <c r="B393" s="30"/>
      <c r="C393" s="30"/>
      <c r="D393" s="30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</row>
    <row r="394" spans="2:16" x14ac:dyDescent="0.25">
      <c r="B394" s="30"/>
      <c r="C394" s="30"/>
      <c r="D394" s="30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</row>
    <row r="395" spans="2:16" x14ac:dyDescent="0.25">
      <c r="B395" s="30"/>
      <c r="C395" s="30"/>
      <c r="D395" s="30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</row>
    <row r="396" spans="2:16" x14ac:dyDescent="0.25">
      <c r="B396" s="30"/>
      <c r="C396" s="30"/>
      <c r="D396" s="30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</row>
    <row r="397" spans="2:16" x14ac:dyDescent="0.25">
      <c r="B397" s="30"/>
      <c r="C397" s="30"/>
      <c r="D397" s="30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</row>
    <row r="398" spans="2:16" x14ac:dyDescent="0.25">
      <c r="B398" s="30"/>
      <c r="C398" s="30"/>
      <c r="D398" s="30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</row>
    <row r="399" spans="2:16" x14ac:dyDescent="0.25">
      <c r="B399" s="30"/>
      <c r="C399" s="30"/>
      <c r="D399" s="30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</row>
    <row r="400" spans="2:16" x14ac:dyDescent="0.25">
      <c r="B400" s="30"/>
      <c r="C400" s="30"/>
      <c r="D400" s="30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</row>
    <row r="401" spans="2:16" x14ac:dyDescent="0.25">
      <c r="B401" s="30"/>
      <c r="C401" s="30"/>
      <c r="D401" s="30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</row>
    <row r="402" spans="2:16" x14ac:dyDescent="0.25">
      <c r="B402" s="30"/>
      <c r="C402" s="30"/>
      <c r="D402" s="30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</row>
    <row r="403" spans="2:16" x14ac:dyDescent="0.25">
      <c r="B403" s="30"/>
      <c r="C403" s="30"/>
      <c r="D403" s="30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</row>
    <row r="404" spans="2:16" x14ac:dyDescent="0.25">
      <c r="B404" s="30"/>
      <c r="C404" s="30"/>
      <c r="D404" s="30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</row>
    <row r="405" spans="2:16" x14ac:dyDescent="0.25">
      <c r="B405" s="30"/>
      <c r="C405" s="30"/>
      <c r="D405" s="30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</row>
    <row r="406" spans="2:16" x14ac:dyDescent="0.25">
      <c r="B406" s="30"/>
      <c r="C406" s="30"/>
      <c r="D406" s="30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</row>
    <row r="407" spans="2:16" x14ac:dyDescent="0.25">
      <c r="B407" s="30"/>
      <c r="C407" s="30"/>
      <c r="D407" s="30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</row>
    <row r="408" spans="2:16" x14ac:dyDescent="0.25">
      <c r="B408" s="30"/>
      <c r="C408" s="30"/>
      <c r="D408" s="30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</row>
    <row r="409" spans="2:16" x14ac:dyDescent="0.25">
      <c r="B409" s="30"/>
      <c r="C409" s="30"/>
      <c r="D409" s="30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</row>
    <row r="410" spans="2:16" x14ac:dyDescent="0.25">
      <c r="B410" s="30"/>
      <c r="C410" s="30"/>
      <c r="D410" s="30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</row>
    <row r="411" spans="2:16" x14ac:dyDescent="0.25">
      <c r="B411" s="30"/>
      <c r="C411" s="30"/>
      <c r="D411" s="30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</row>
    <row r="412" spans="2:16" x14ac:dyDescent="0.25">
      <c r="B412" s="30"/>
      <c r="C412" s="30"/>
      <c r="D412" s="30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</row>
    <row r="413" spans="2:16" x14ac:dyDescent="0.25">
      <c r="B413" s="30"/>
      <c r="C413" s="30"/>
      <c r="D413" s="30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</row>
    <row r="414" spans="2:16" x14ac:dyDescent="0.25">
      <c r="B414" s="30"/>
      <c r="C414" s="30"/>
      <c r="D414" s="30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</row>
    <row r="415" spans="2:16" x14ac:dyDescent="0.25">
      <c r="B415" s="30"/>
      <c r="C415" s="30"/>
      <c r="D415" s="30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</row>
    <row r="416" spans="2:16" x14ac:dyDescent="0.25">
      <c r="B416" s="30"/>
      <c r="C416" s="30"/>
      <c r="D416" s="30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</row>
    <row r="417" spans="2:16" x14ac:dyDescent="0.25">
      <c r="B417" s="30"/>
      <c r="C417" s="30"/>
      <c r="D417" s="30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</row>
    <row r="418" spans="2:16" x14ac:dyDescent="0.25">
      <c r="B418" s="30"/>
      <c r="C418" s="30"/>
      <c r="D418" s="30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</row>
    <row r="419" spans="2:16" x14ac:dyDescent="0.25">
      <c r="B419" s="30"/>
      <c r="C419" s="30"/>
      <c r="D419" s="30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</row>
    <row r="420" spans="2:16" x14ac:dyDescent="0.25">
      <c r="B420" s="30"/>
      <c r="C420" s="30"/>
      <c r="D420" s="30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</row>
    <row r="421" spans="2:16" x14ac:dyDescent="0.25">
      <c r="B421" s="30"/>
      <c r="C421" s="30"/>
      <c r="D421" s="30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</row>
    <row r="422" spans="2:16" x14ac:dyDescent="0.25">
      <c r="B422" s="30"/>
      <c r="C422" s="30"/>
      <c r="D422" s="30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</row>
    <row r="423" spans="2:16" x14ac:dyDescent="0.25">
      <c r="B423" s="30"/>
      <c r="C423" s="30"/>
      <c r="D423" s="30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</row>
    <row r="424" spans="2:16" x14ac:dyDescent="0.25">
      <c r="B424" s="30"/>
      <c r="C424" s="30"/>
      <c r="D424" s="30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</row>
    <row r="425" spans="2:16" x14ac:dyDescent="0.25">
      <c r="B425" s="30"/>
      <c r="C425" s="30"/>
      <c r="D425" s="30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</row>
    <row r="426" spans="2:16" x14ac:dyDescent="0.25">
      <c r="B426" s="30"/>
      <c r="C426" s="30"/>
      <c r="D426" s="30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</row>
    <row r="427" spans="2:16" x14ac:dyDescent="0.25">
      <c r="B427" s="30"/>
      <c r="C427" s="30"/>
      <c r="D427" s="30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</row>
    <row r="428" spans="2:16" x14ac:dyDescent="0.25">
      <c r="B428" s="30"/>
      <c r="C428" s="30"/>
      <c r="D428" s="30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</row>
    <row r="429" spans="2:16" x14ac:dyDescent="0.25">
      <c r="B429" s="30"/>
      <c r="C429" s="30"/>
      <c r="D429" s="30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</row>
    <row r="430" spans="2:16" x14ac:dyDescent="0.25">
      <c r="B430" s="30"/>
      <c r="C430" s="30"/>
      <c r="D430" s="30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</row>
    <row r="431" spans="2:16" x14ac:dyDescent="0.25">
      <c r="B431" s="30"/>
      <c r="C431" s="30"/>
      <c r="D431" s="30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</row>
    <row r="432" spans="2:16" x14ac:dyDescent="0.25">
      <c r="B432" s="30"/>
      <c r="C432" s="30"/>
      <c r="D432" s="30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</row>
    <row r="433" spans="2:16" x14ac:dyDescent="0.25">
      <c r="B433" s="30"/>
      <c r="C433" s="30"/>
      <c r="D433" s="30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</row>
    <row r="434" spans="2:16" x14ac:dyDescent="0.25">
      <c r="B434" s="30"/>
      <c r="C434" s="30"/>
      <c r="D434" s="30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</row>
    <row r="435" spans="2:16" x14ac:dyDescent="0.25">
      <c r="B435" s="30"/>
      <c r="C435" s="30"/>
      <c r="D435" s="30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</row>
    <row r="436" spans="2:16" x14ac:dyDescent="0.25">
      <c r="B436" s="30"/>
      <c r="C436" s="30"/>
      <c r="D436" s="30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</row>
    <row r="437" spans="2:16" x14ac:dyDescent="0.25">
      <c r="B437" s="30"/>
      <c r="C437" s="30"/>
      <c r="D437" s="30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</row>
    <row r="438" spans="2:16" x14ac:dyDescent="0.25">
      <c r="B438" s="30"/>
      <c r="C438" s="30"/>
      <c r="D438" s="30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</row>
    <row r="439" spans="2:16" x14ac:dyDescent="0.25">
      <c r="B439" s="30"/>
      <c r="C439" s="30"/>
      <c r="D439" s="30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</row>
    <row r="440" spans="2:16" x14ac:dyDescent="0.25">
      <c r="B440" s="30"/>
      <c r="C440" s="30"/>
      <c r="D440" s="30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</row>
    <row r="441" spans="2:16" x14ac:dyDescent="0.25">
      <c r="B441" s="30"/>
      <c r="C441" s="30"/>
      <c r="D441" s="30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</row>
    <row r="442" spans="2:16" x14ac:dyDescent="0.25">
      <c r="B442" s="30"/>
      <c r="C442" s="30"/>
      <c r="D442" s="30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</row>
    <row r="443" spans="2:16" x14ac:dyDescent="0.25">
      <c r="B443" s="30"/>
      <c r="C443" s="30"/>
      <c r="D443" s="30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</row>
    <row r="444" spans="2:16" x14ac:dyDescent="0.25">
      <c r="B444" s="30"/>
      <c r="C444" s="30"/>
      <c r="D444" s="30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</row>
    <row r="445" spans="2:16" x14ac:dyDescent="0.25">
      <c r="B445" s="30"/>
      <c r="C445" s="30"/>
      <c r="D445" s="30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</row>
    <row r="446" spans="2:16" x14ac:dyDescent="0.25">
      <c r="B446" s="30"/>
      <c r="C446" s="30"/>
      <c r="D446" s="30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</row>
    <row r="447" spans="2:16" x14ac:dyDescent="0.25">
      <c r="B447" s="30"/>
      <c r="C447" s="30"/>
      <c r="D447" s="30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</row>
    <row r="448" spans="2:16" x14ac:dyDescent="0.25">
      <c r="B448" s="30"/>
      <c r="C448" s="30"/>
      <c r="D448" s="30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</row>
    <row r="449" spans="2:16" x14ac:dyDescent="0.25">
      <c r="B449" s="30"/>
      <c r="C449" s="30"/>
      <c r="D449" s="30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</row>
    <row r="450" spans="2:16" x14ac:dyDescent="0.25">
      <c r="B450" s="30"/>
      <c r="C450" s="30"/>
      <c r="D450" s="30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</row>
    <row r="451" spans="2:16" x14ac:dyDescent="0.25">
      <c r="B451" s="30"/>
      <c r="C451" s="30"/>
      <c r="D451" s="30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</row>
    <row r="452" spans="2:16" x14ac:dyDescent="0.25">
      <c r="B452" s="30"/>
      <c r="C452" s="30"/>
      <c r="D452" s="30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</row>
    <row r="453" spans="2:16" x14ac:dyDescent="0.25">
      <c r="B453" s="30"/>
      <c r="C453" s="30"/>
      <c r="D453" s="30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</row>
    <row r="454" spans="2:16" x14ac:dyDescent="0.25">
      <c r="B454" s="30"/>
      <c r="C454" s="30"/>
      <c r="D454" s="30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</row>
    <row r="455" spans="2:16" x14ac:dyDescent="0.25">
      <c r="B455" s="30"/>
      <c r="C455" s="30"/>
      <c r="D455" s="30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</row>
    <row r="456" spans="2:16" x14ac:dyDescent="0.25">
      <c r="B456" s="30"/>
      <c r="C456" s="30"/>
      <c r="D456" s="30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</row>
    <row r="457" spans="2:16" x14ac:dyDescent="0.25">
      <c r="B457" s="30"/>
      <c r="C457" s="30"/>
      <c r="D457" s="30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</row>
    <row r="458" spans="2:16" x14ac:dyDescent="0.25">
      <c r="B458" s="30"/>
      <c r="C458" s="30"/>
      <c r="D458" s="30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</row>
    <row r="459" spans="2:16" x14ac:dyDescent="0.25">
      <c r="B459" s="30"/>
      <c r="C459" s="30"/>
      <c r="D459" s="30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</row>
    <row r="460" spans="2:16" x14ac:dyDescent="0.25">
      <c r="B460" s="30"/>
      <c r="C460" s="30"/>
      <c r="D460" s="30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</row>
    <row r="461" spans="2:16" x14ac:dyDescent="0.25">
      <c r="B461" s="30"/>
      <c r="C461" s="30"/>
      <c r="D461" s="30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</row>
    <row r="462" spans="2:16" x14ac:dyDescent="0.25">
      <c r="B462" s="30"/>
      <c r="C462" s="30"/>
      <c r="D462" s="30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</row>
    <row r="463" spans="2:16" x14ac:dyDescent="0.25">
      <c r="B463" s="30"/>
      <c r="C463" s="30"/>
      <c r="D463" s="30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</row>
    <row r="464" spans="2:16" x14ac:dyDescent="0.25">
      <c r="B464" s="30"/>
      <c r="C464" s="30"/>
      <c r="D464" s="30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</row>
    <row r="465" spans="2:16" x14ac:dyDescent="0.25">
      <c r="B465" s="30"/>
      <c r="C465" s="30"/>
      <c r="D465" s="30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</row>
    <row r="466" spans="2:16" x14ac:dyDescent="0.25">
      <c r="B466" s="30"/>
      <c r="C466" s="30"/>
      <c r="D466" s="30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</row>
    <row r="467" spans="2:16" x14ac:dyDescent="0.25">
      <c r="B467" s="30"/>
      <c r="C467" s="30"/>
      <c r="D467" s="30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</row>
    <row r="468" spans="2:16" x14ac:dyDescent="0.25">
      <c r="B468" s="30"/>
      <c r="C468" s="30"/>
      <c r="D468" s="30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</row>
    <row r="469" spans="2:16" x14ac:dyDescent="0.25">
      <c r="B469" s="30"/>
      <c r="C469" s="30"/>
      <c r="D469" s="30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</row>
    <row r="470" spans="2:16" x14ac:dyDescent="0.25">
      <c r="B470" s="30"/>
      <c r="C470" s="30"/>
      <c r="D470" s="30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</row>
    <row r="471" spans="2:16" x14ac:dyDescent="0.25">
      <c r="B471" s="30"/>
      <c r="C471" s="30"/>
      <c r="D471" s="30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</row>
    <row r="472" spans="2:16" x14ac:dyDescent="0.25">
      <c r="B472" s="30"/>
      <c r="C472" s="30"/>
      <c r="D472" s="30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</row>
    <row r="473" spans="2:16" x14ac:dyDescent="0.25">
      <c r="B473" s="30"/>
      <c r="C473" s="30"/>
      <c r="D473" s="30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</row>
    <row r="474" spans="2:16" x14ac:dyDescent="0.25">
      <c r="B474" s="30"/>
      <c r="C474" s="30"/>
      <c r="D474" s="30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</row>
    <row r="475" spans="2:16" x14ac:dyDescent="0.25">
      <c r="B475" s="30"/>
      <c r="C475" s="30"/>
      <c r="D475" s="30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</row>
    <row r="476" spans="2:16" x14ac:dyDescent="0.25">
      <c r="B476" s="30"/>
      <c r="C476" s="30"/>
      <c r="D476" s="30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</row>
    <row r="477" spans="2:16" x14ac:dyDescent="0.25">
      <c r="B477" s="30"/>
      <c r="C477" s="30"/>
      <c r="D477" s="30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</row>
    <row r="478" spans="2:16" x14ac:dyDescent="0.25">
      <c r="B478" s="30"/>
      <c r="C478" s="30"/>
      <c r="D478" s="30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</row>
    <row r="479" spans="2:16" x14ac:dyDescent="0.25">
      <c r="B479" s="30"/>
      <c r="C479" s="30"/>
      <c r="D479" s="30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</row>
    <row r="480" spans="2:16" x14ac:dyDescent="0.25">
      <c r="B480" s="30"/>
      <c r="C480" s="30"/>
      <c r="D480" s="30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</row>
    <row r="481" spans="2:16" x14ac:dyDescent="0.25">
      <c r="B481" s="30"/>
      <c r="C481" s="30"/>
      <c r="D481" s="30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</row>
    <row r="482" spans="2:16" x14ac:dyDescent="0.25">
      <c r="B482" s="30"/>
      <c r="C482" s="30"/>
      <c r="D482" s="30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</row>
    <row r="483" spans="2:16" x14ac:dyDescent="0.25">
      <c r="B483" s="30"/>
      <c r="C483" s="30"/>
      <c r="D483" s="30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</row>
    <row r="484" spans="2:16" x14ac:dyDescent="0.25">
      <c r="B484" s="30"/>
      <c r="C484" s="30"/>
      <c r="D484" s="30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</row>
    <row r="485" spans="2:16" x14ac:dyDescent="0.25">
      <c r="B485" s="30"/>
      <c r="C485" s="30"/>
      <c r="D485" s="30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</row>
    <row r="486" spans="2:16" x14ac:dyDescent="0.25">
      <c r="B486" s="30"/>
      <c r="C486" s="30"/>
      <c r="D486" s="30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</row>
    <row r="487" spans="2:16" x14ac:dyDescent="0.25">
      <c r="B487" s="30"/>
      <c r="C487" s="30"/>
      <c r="D487" s="30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</row>
    <row r="488" spans="2:16" x14ac:dyDescent="0.25">
      <c r="B488" s="30"/>
      <c r="C488" s="30"/>
      <c r="D488" s="30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</row>
    <row r="489" spans="2:16" x14ac:dyDescent="0.25">
      <c r="B489" s="30"/>
      <c r="C489" s="30"/>
      <c r="D489" s="30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</row>
    <row r="490" spans="2:16" x14ac:dyDescent="0.25">
      <c r="B490" s="30"/>
      <c r="C490" s="30"/>
      <c r="D490" s="30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</row>
    <row r="491" spans="2:16" x14ac:dyDescent="0.25">
      <c r="B491" s="30"/>
      <c r="C491" s="30"/>
      <c r="D491" s="30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</row>
    <row r="492" spans="2:16" x14ac:dyDescent="0.25">
      <c r="B492" s="30"/>
      <c r="C492" s="30"/>
      <c r="D492" s="30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</row>
    <row r="493" spans="2:16" x14ac:dyDescent="0.25">
      <c r="B493" s="30"/>
      <c r="C493" s="30"/>
      <c r="D493" s="30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</row>
    <row r="494" spans="2:16" x14ac:dyDescent="0.25">
      <c r="B494" s="30"/>
      <c r="C494" s="30"/>
      <c r="D494" s="30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</row>
    <row r="495" spans="2:16" x14ac:dyDescent="0.25">
      <c r="B495" s="30"/>
      <c r="C495" s="30"/>
      <c r="D495" s="30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</row>
    <row r="496" spans="2:16" x14ac:dyDescent="0.25">
      <c r="B496" s="30"/>
      <c r="C496" s="30"/>
      <c r="D496" s="30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</row>
    <row r="497" spans="2:16" x14ac:dyDescent="0.25">
      <c r="B497" s="30"/>
      <c r="C497" s="30"/>
      <c r="D497" s="30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</row>
    <row r="498" spans="2:16" x14ac:dyDescent="0.25">
      <c r="B498" s="30"/>
      <c r="C498" s="30"/>
      <c r="D498" s="30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</row>
    <row r="499" spans="2:16" x14ac:dyDescent="0.25">
      <c r="B499" s="30"/>
      <c r="C499" s="30"/>
      <c r="D499" s="30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</row>
    <row r="500" spans="2:16" x14ac:dyDescent="0.25">
      <c r="B500" s="30"/>
      <c r="C500" s="30"/>
      <c r="D500" s="30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</row>
    <row r="501" spans="2:16" x14ac:dyDescent="0.25">
      <c r="B501" s="30"/>
      <c r="C501" s="30"/>
      <c r="D501" s="30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</row>
    <row r="502" spans="2:16" x14ac:dyDescent="0.25">
      <c r="B502" s="30"/>
      <c r="C502" s="30"/>
      <c r="D502" s="30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</row>
    <row r="503" spans="2:16" x14ac:dyDescent="0.25">
      <c r="B503" s="30"/>
      <c r="C503" s="30"/>
      <c r="D503" s="30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</row>
    <row r="504" spans="2:16" x14ac:dyDescent="0.25">
      <c r="B504" s="30"/>
      <c r="C504" s="30"/>
      <c r="D504" s="30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</row>
    <row r="505" spans="2:16" x14ac:dyDescent="0.25">
      <c r="B505" s="30"/>
      <c r="C505" s="30"/>
      <c r="D505" s="30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</row>
    <row r="506" spans="2:16" x14ac:dyDescent="0.25">
      <c r="B506" s="30"/>
      <c r="C506" s="30"/>
      <c r="D506" s="30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</row>
    <row r="507" spans="2:16" x14ac:dyDescent="0.25">
      <c r="B507" s="30"/>
      <c r="C507" s="30"/>
      <c r="D507" s="30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</row>
    <row r="508" spans="2:16" x14ac:dyDescent="0.25">
      <c r="B508" s="30"/>
      <c r="C508" s="30"/>
      <c r="D508" s="30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</row>
    <row r="509" spans="2:16" x14ac:dyDescent="0.25">
      <c r="B509" s="30"/>
      <c r="C509" s="30"/>
      <c r="D509" s="30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</row>
    <row r="510" spans="2:16" x14ac:dyDescent="0.25">
      <c r="B510" s="30"/>
      <c r="C510" s="30"/>
      <c r="D510" s="30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</row>
    <row r="511" spans="2:16" x14ac:dyDescent="0.25">
      <c r="B511" s="30"/>
      <c r="C511" s="30"/>
      <c r="D511" s="30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</row>
    <row r="512" spans="2:16" x14ac:dyDescent="0.25">
      <c r="B512" s="30"/>
      <c r="C512" s="30"/>
      <c r="D512" s="30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</row>
    <row r="513" spans="2:16" x14ac:dyDescent="0.25">
      <c r="B513" s="30"/>
      <c r="C513" s="30"/>
      <c r="D513" s="30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</row>
    <row r="514" spans="2:16" x14ac:dyDescent="0.25">
      <c r="B514" s="30"/>
      <c r="C514" s="30"/>
      <c r="D514" s="30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</row>
    <row r="515" spans="2:16" x14ac:dyDescent="0.25">
      <c r="B515" s="30"/>
      <c r="C515" s="30"/>
      <c r="D515" s="30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</row>
    <row r="516" spans="2:16" x14ac:dyDescent="0.25">
      <c r="B516" s="30"/>
      <c r="C516" s="30"/>
      <c r="D516" s="30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</row>
    <row r="517" spans="2:16" x14ac:dyDescent="0.25">
      <c r="B517" s="30"/>
      <c r="C517" s="30"/>
      <c r="D517" s="30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</row>
    <row r="518" spans="2:16" x14ac:dyDescent="0.25">
      <c r="B518" s="30"/>
      <c r="C518" s="30"/>
      <c r="D518" s="30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</row>
    <row r="519" spans="2:16" x14ac:dyDescent="0.25">
      <c r="B519" s="30"/>
      <c r="C519" s="30"/>
      <c r="D519" s="30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</row>
    <row r="520" spans="2:16" x14ac:dyDescent="0.25">
      <c r="B520" s="30"/>
      <c r="C520" s="30"/>
      <c r="D520" s="30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</row>
    <row r="521" spans="2:16" x14ac:dyDescent="0.25">
      <c r="B521" s="30"/>
      <c r="C521" s="30"/>
      <c r="D521" s="30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</row>
    <row r="522" spans="2:16" x14ac:dyDescent="0.25">
      <c r="B522" s="30"/>
      <c r="C522" s="30"/>
      <c r="D522" s="30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</row>
    <row r="523" spans="2:16" x14ac:dyDescent="0.25">
      <c r="B523" s="30"/>
      <c r="C523" s="30"/>
      <c r="D523" s="30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</row>
    <row r="524" spans="2:16" x14ac:dyDescent="0.25">
      <c r="B524" s="30"/>
      <c r="C524" s="30"/>
      <c r="D524" s="30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</row>
    <row r="525" spans="2:16" x14ac:dyDescent="0.25">
      <c r="B525" s="30"/>
      <c r="C525" s="30"/>
      <c r="D525" s="30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</row>
    <row r="526" spans="2:16" x14ac:dyDescent="0.25">
      <c r="B526" s="30"/>
      <c r="C526" s="30"/>
      <c r="D526" s="30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</row>
    <row r="527" spans="2:16" x14ac:dyDescent="0.25">
      <c r="B527" s="30"/>
      <c r="C527" s="30"/>
      <c r="D527" s="30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</row>
    <row r="528" spans="2:16" x14ac:dyDescent="0.25">
      <c r="B528" s="30"/>
      <c r="C528" s="30"/>
      <c r="D528" s="30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</row>
    <row r="529" spans="2:16" x14ac:dyDescent="0.25">
      <c r="B529" s="30"/>
      <c r="C529" s="30"/>
      <c r="D529" s="30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</row>
    <row r="530" spans="2:16" x14ac:dyDescent="0.25">
      <c r="B530" s="30"/>
      <c r="C530" s="30"/>
      <c r="D530" s="30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</row>
    <row r="531" spans="2:16" x14ac:dyDescent="0.25">
      <c r="B531" s="30"/>
      <c r="C531" s="30"/>
      <c r="D531" s="30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</row>
    <row r="532" spans="2:16" x14ac:dyDescent="0.25">
      <c r="B532" s="30"/>
      <c r="C532" s="30"/>
      <c r="D532" s="30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</row>
    <row r="533" spans="2:16" x14ac:dyDescent="0.25">
      <c r="B533" s="30"/>
      <c r="C533" s="30"/>
      <c r="D533" s="30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</row>
    <row r="534" spans="2:16" x14ac:dyDescent="0.25">
      <c r="B534" s="30"/>
      <c r="C534" s="30"/>
      <c r="D534" s="30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</row>
    <row r="535" spans="2:16" x14ac:dyDescent="0.25">
      <c r="B535" s="30"/>
      <c r="C535" s="30"/>
      <c r="D535" s="30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</row>
    <row r="536" spans="2:16" x14ac:dyDescent="0.25">
      <c r="B536" s="30"/>
      <c r="C536" s="30"/>
      <c r="D536" s="30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</row>
    <row r="537" spans="2:16" x14ac:dyDescent="0.25">
      <c r="B537" s="30"/>
      <c r="C537" s="30"/>
      <c r="D537" s="30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</row>
    <row r="538" spans="2:16" x14ac:dyDescent="0.25">
      <c r="B538" s="30"/>
      <c r="C538" s="30"/>
      <c r="D538" s="30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</row>
    <row r="539" spans="2:16" x14ac:dyDescent="0.25">
      <c r="B539" s="30"/>
      <c r="C539" s="30"/>
      <c r="D539" s="30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</row>
    <row r="540" spans="2:16" x14ac:dyDescent="0.25">
      <c r="B540" s="30"/>
      <c r="C540" s="30"/>
      <c r="D540" s="30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</row>
    <row r="541" spans="2:16" x14ac:dyDescent="0.25">
      <c r="B541" s="30"/>
      <c r="C541" s="30"/>
      <c r="D541" s="30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</row>
    <row r="542" spans="2:16" x14ac:dyDescent="0.25">
      <c r="B542" s="30"/>
      <c r="C542" s="30"/>
      <c r="D542" s="30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</row>
    <row r="543" spans="2:16" x14ac:dyDescent="0.25">
      <c r="B543" s="30"/>
      <c r="C543" s="30"/>
      <c r="D543" s="30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</row>
    <row r="544" spans="2:16" x14ac:dyDescent="0.25">
      <c r="B544" s="30"/>
      <c r="C544" s="30"/>
      <c r="D544" s="30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</row>
    <row r="545" spans="2:16" x14ac:dyDescent="0.25">
      <c r="B545" s="30"/>
      <c r="C545" s="30"/>
      <c r="D545" s="30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</row>
    <row r="546" spans="2:16" x14ac:dyDescent="0.25">
      <c r="B546" s="30"/>
      <c r="C546" s="30"/>
      <c r="D546" s="30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</row>
    <row r="547" spans="2:16" x14ac:dyDescent="0.25">
      <c r="B547" s="30"/>
      <c r="C547" s="30"/>
      <c r="D547" s="30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</row>
    <row r="548" spans="2:16" x14ac:dyDescent="0.25">
      <c r="B548" s="30"/>
      <c r="C548" s="30"/>
      <c r="D548" s="30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</row>
    <row r="549" spans="2:16" x14ac:dyDescent="0.25">
      <c r="B549" s="30"/>
      <c r="C549" s="30"/>
      <c r="D549" s="30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</row>
    <row r="550" spans="2:16" x14ac:dyDescent="0.25">
      <c r="B550" s="30"/>
      <c r="C550" s="30"/>
      <c r="D550" s="30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</row>
    <row r="551" spans="2:16" x14ac:dyDescent="0.25">
      <c r="B551" s="30"/>
      <c r="C551" s="30"/>
      <c r="D551" s="30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</row>
    <row r="552" spans="2:16" x14ac:dyDescent="0.25">
      <c r="B552" s="30"/>
      <c r="C552" s="30"/>
      <c r="D552" s="30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</row>
    <row r="553" spans="2:16" x14ac:dyDescent="0.25">
      <c r="B553" s="30"/>
      <c r="C553" s="30"/>
      <c r="D553" s="30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</row>
    <row r="554" spans="2:16" x14ac:dyDescent="0.25">
      <c r="B554" s="30"/>
      <c r="C554" s="30"/>
      <c r="D554" s="30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</row>
    <row r="555" spans="2:16" x14ac:dyDescent="0.25">
      <c r="B555" s="30"/>
      <c r="C555" s="30"/>
      <c r="D555" s="30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</row>
    <row r="556" spans="2:16" x14ac:dyDescent="0.25">
      <c r="B556" s="30"/>
      <c r="C556" s="30"/>
      <c r="D556" s="30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</row>
    <row r="557" spans="2:16" x14ac:dyDescent="0.25">
      <c r="B557" s="30"/>
      <c r="C557" s="30"/>
      <c r="D557" s="30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</row>
    <row r="558" spans="2:16" x14ac:dyDescent="0.25">
      <c r="B558" s="30"/>
      <c r="C558" s="30"/>
      <c r="D558" s="30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</row>
    <row r="559" spans="2:16" x14ac:dyDescent="0.25">
      <c r="B559" s="30"/>
      <c r="C559" s="30"/>
      <c r="D559" s="30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</row>
    <row r="560" spans="2:16" x14ac:dyDescent="0.25">
      <c r="B560" s="30"/>
      <c r="C560" s="30"/>
      <c r="D560" s="30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</row>
    <row r="561" spans="2:16" x14ac:dyDescent="0.25">
      <c r="B561" s="30"/>
      <c r="C561" s="30"/>
      <c r="D561" s="30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</row>
    <row r="562" spans="2:16" x14ac:dyDescent="0.25">
      <c r="B562" s="30"/>
      <c r="C562" s="30"/>
      <c r="D562" s="30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</row>
    <row r="563" spans="2:16" x14ac:dyDescent="0.25">
      <c r="B563" s="30"/>
      <c r="C563" s="30"/>
      <c r="D563" s="30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</row>
    <row r="564" spans="2:16" x14ac:dyDescent="0.25">
      <c r="B564" s="30"/>
      <c r="C564" s="30"/>
      <c r="D564" s="30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</row>
    <row r="565" spans="2:16" x14ac:dyDescent="0.25">
      <c r="B565" s="30"/>
      <c r="C565" s="30"/>
      <c r="D565" s="30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</row>
    <row r="566" spans="2:16" x14ac:dyDescent="0.25">
      <c r="B566" s="30"/>
      <c r="C566" s="30"/>
      <c r="D566" s="30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</row>
    <row r="567" spans="2:16" x14ac:dyDescent="0.25">
      <c r="B567" s="30"/>
      <c r="C567" s="30"/>
      <c r="D567" s="30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</row>
    <row r="568" spans="2:16" x14ac:dyDescent="0.25">
      <c r="B568" s="30"/>
      <c r="C568" s="30"/>
      <c r="D568" s="30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</row>
    <row r="569" spans="2:16" x14ac:dyDescent="0.25">
      <c r="B569" s="30"/>
      <c r="C569" s="30"/>
      <c r="D569" s="30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</row>
    <row r="570" spans="2:16" x14ac:dyDescent="0.25">
      <c r="B570" s="30"/>
      <c r="C570" s="30"/>
      <c r="D570" s="30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</row>
    <row r="571" spans="2:16" x14ac:dyDescent="0.25">
      <c r="B571" s="30"/>
      <c r="C571" s="30"/>
      <c r="D571" s="30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</row>
    <row r="572" spans="2:16" x14ac:dyDescent="0.25">
      <c r="B572" s="30"/>
      <c r="C572" s="30"/>
      <c r="D572" s="30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</row>
    <row r="573" spans="2:16" x14ac:dyDescent="0.25">
      <c r="B573" s="30"/>
      <c r="C573" s="30"/>
      <c r="D573" s="30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</row>
    <row r="574" spans="2:16" x14ac:dyDescent="0.25">
      <c r="B574" s="30"/>
      <c r="C574" s="30"/>
      <c r="D574" s="30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</row>
    <row r="575" spans="2:16" x14ac:dyDescent="0.25">
      <c r="B575" s="30"/>
      <c r="C575" s="30"/>
      <c r="D575" s="30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</row>
    <row r="576" spans="2:16" x14ac:dyDescent="0.25">
      <c r="B576" s="30"/>
      <c r="C576" s="30"/>
      <c r="D576" s="30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</row>
    <row r="577" spans="2:16" x14ac:dyDescent="0.25">
      <c r="B577" s="30"/>
      <c r="C577" s="30"/>
      <c r="D577" s="30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</row>
    <row r="578" spans="2:16" x14ac:dyDescent="0.25">
      <c r="B578" s="30"/>
      <c r="C578" s="30"/>
      <c r="D578" s="30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</row>
    <row r="579" spans="2:16" x14ac:dyDescent="0.25">
      <c r="B579" s="30"/>
      <c r="C579" s="30"/>
      <c r="D579" s="30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</row>
    <row r="580" spans="2:16" x14ac:dyDescent="0.25">
      <c r="B580" s="30"/>
      <c r="C580" s="30"/>
      <c r="D580" s="30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</row>
    <row r="581" spans="2:16" x14ac:dyDescent="0.25">
      <c r="B581" s="30"/>
      <c r="C581" s="30"/>
      <c r="D581" s="30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</row>
    <row r="582" spans="2:16" x14ac:dyDescent="0.25">
      <c r="B582" s="30"/>
      <c r="C582" s="30"/>
      <c r="D582" s="30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</row>
    <row r="583" spans="2:16" x14ac:dyDescent="0.25">
      <c r="B583" s="30"/>
      <c r="C583" s="30"/>
      <c r="D583" s="30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</row>
    <row r="584" spans="2:16" x14ac:dyDescent="0.25">
      <c r="B584" s="30"/>
      <c r="C584" s="30"/>
      <c r="D584" s="30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</row>
    <row r="585" spans="2:16" x14ac:dyDescent="0.25">
      <c r="B585" s="30"/>
      <c r="C585" s="30"/>
      <c r="D585" s="30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</row>
    <row r="586" spans="2:16" x14ac:dyDescent="0.25">
      <c r="B586" s="30"/>
      <c r="C586" s="30"/>
      <c r="D586" s="30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</row>
    <row r="587" spans="2:16" x14ac:dyDescent="0.25">
      <c r="B587" s="30"/>
      <c r="C587" s="30"/>
      <c r="D587" s="30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</row>
    <row r="588" spans="2:16" x14ac:dyDescent="0.25">
      <c r="B588" s="30"/>
      <c r="C588" s="30"/>
      <c r="D588" s="30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</row>
    <row r="589" spans="2:16" x14ac:dyDescent="0.25">
      <c r="B589" s="30"/>
      <c r="C589" s="30"/>
      <c r="D589" s="30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</row>
    <row r="590" spans="2:16" x14ac:dyDescent="0.25">
      <c r="B590" s="30"/>
      <c r="C590" s="30"/>
      <c r="D590" s="30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</row>
    <row r="591" spans="2:16" x14ac:dyDescent="0.25">
      <c r="B591" s="30"/>
      <c r="C591" s="30"/>
      <c r="D591" s="30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</row>
    <row r="592" spans="2:16" x14ac:dyDescent="0.25">
      <c r="B592" s="30"/>
      <c r="C592" s="30"/>
      <c r="D592" s="30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</row>
    <row r="593" spans="2:16" x14ac:dyDescent="0.25">
      <c r="B593" s="30"/>
      <c r="C593" s="30"/>
      <c r="D593" s="30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</row>
    <row r="594" spans="2:16" x14ac:dyDescent="0.25">
      <c r="B594" s="30"/>
      <c r="C594" s="30"/>
      <c r="D594" s="30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</row>
    <row r="595" spans="2:16" x14ac:dyDescent="0.25">
      <c r="B595" s="30"/>
      <c r="C595" s="30"/>
      <c r="D595" s="30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</row>
    <row r="596" spans="2:16" x14ac:dyDescent="0.25">
      <c r="B596" s="30"/>
      <c r="C596" s="30"/>
      <c r="D596" s="30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</row>
    <row r="597" spans="2:16" x14ac:dyDescent="0.25">
      <c r="B597" s="30"/>
      <c r="C597" s="30"/>
      <c r="D597" s="30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</row>
    <row r="598" spans="2:16" x14ac:dyDescent="0.25">
      <c r="B598" s="30"/>
      <c r="C598" s="30"/>
      <c r="D598" s="30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</row>
    <row r="599" spans="2:16" x14ac:dyDescent="0.25">
      <c r="B599" s="30"/>
      <c r="C599" s="30"/>
      <c r="D599" s="30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</row>
    <row r="600" spans="2:16" x14ac:dyDescent="0.25">
      <c r="B600" s="30"/>
      <c r="C600" s="30"/>
      <c r="D600" s="30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</row>
    <row r="601" spans="2:16" x14ac:dyDescent="0.25">
      <c r="B601" s="30"/>
      <c r="C601" s="30"/>
      <c r="D601" s="30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</row>
    <row r="602" spans="2:16" x14ac:dyDescent="0.25">
      <c r="B602" s="30"/>
      <c r="C602" s="30"/>
      <c r="D602" s="30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</row>
    <row r="603" spans="2:16" x14ac:dyDescent="0.25">
      <c r="B603" s="30"/>
      <c r="C603" s="30"/>
      <c r="D603" s="30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</row>
    <row r="604" spans="2:16" x14ac:dyDescent="0.25">
      <c r="B604" s="30"/>
      <c r="C604" s="30"/>
      <c r="D604" s="30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</row>
    <row r="605" spans="2:16" x14ac:dyDescent="0.25">
      <c r="B605" s="30"/>
      <c r="C605" s="30"/>
      <c r="D605" s="30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</row>
    <row r="606" spans="2:16" x14ac:dyDescent="0.25">
      <c r="B606" s="30"/>
      <c r="C606" s="30"/>
      <c r="D606" s="30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</row>
    <row r="607" spans="2:16" x14ac:dyDescent="0.25">
      <c r="B607" s="30"/>
      <c r="C607" s="30"/>
      <c r="D607" s="30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</row>
    <row r="608" spans="2:16" x14ac:dyDescent="0.25">
      <c r="B608" s="30"/>
      <c r="C608" s="30"/>
      <c r="D608" s="30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</row>
    <row r="609" spans="2:16" x14ac:dyDescent="0.25">
      <c r="B609" s="30"/>
      <c r="C609" s="30"/>
      <c r="D609" s="30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</row>
    <row r="610" spans="2:16" x14ac:dyDescent="0.25">
      <c r="B610" s="30"/>
      <c r="C610" s="30"/>
      <c r="D610" s="30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</row>
    <row r="611" spans="2:16" x14ac:dyDescent="0.25">
      <c r="B611" s="30"/>
      <c r="C611" s="30"/>
      <c r="D611" s="30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</row>
    <row r="612" spans="2:16" x14ac:dyDescent="0.25">
      <c r="B612" s="30"/>
      <c r="C612" s="30"/>
      <c r="D612" s="30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</row>
    <row r="613" spans="2:16" x14ac:dyDescent="0.25">
      <c r="B613" s="30"/>
      <c r="C613" s="30"/>
      <c r="D613" s="30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</row>
    <row r="614" spans="2:16" x14ac:dyDescent="0.25">
      <c r="B614" s="30"/>
      <c r="C614" s="30"/>
      <c r="D614" s="30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</row>
    <row r="615" spans="2:16" x14ac:dyDescent="0.25">
      <c r="B615" s="30"/>
      <c r="C615" s="30"/>
      <c r="D615" s="30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</row>
    <row r="616" spans="2:16" x14ac:dyDescent="0.25">
      <c r="B616" s="30"/>
      <c r="C616" s="30"/>
      <c r="D616" s="30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</row>
    <row r="617" spans="2:16" x14ac:dyDescent="0.25">
      <c r="B617" s="30"/>
      <c r="C617" s="30"/>
      <c r="D617" s="30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</row>
    <row r="618" spans="2:16" x14ac:dyDescent="0.25">
      <c r="B618" s="30"/>
      <c r="C618" s="30"/>
      <c r="D618" s="30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</row>
    <row r="619" spans="2:16" x14ac:dyDescent="0.25">
      <c r="B619" s="30"/>
      <c r="C619" s="30"/>
      <c r="D619" s="30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</row>
    <row r="620" spans="2:16" x14ac:dyDescent="0.25">
      <c r="B620" s="30"/>
      <c r="C620" s="30"/>
      <c r="D620" s="30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</row>
    <row r="621" spans="2:16" x14ac:dyDescent="0.25">
      <c r="B621" s="30"/>
      <c r="C621" s="30"/>
      <c r="D621" s="30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</row>
    <row r="622" spans="2:16" x14ac:dyDescent="0.25">
      <c r="B622" s="30"/>
      <c r="C622" s="30"/>
      <c r="D622" s="30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</row>
    <row r="623" spans="2:16" x14ac:dyDescent="0.25">
      <c r="B623" s="30"/>
      <c r="C623" s="30"/>
      <c r="D623" s="30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</row>
    <row r="624" spans="2:16" x14ac:dyDescent="0.25">
      <c r="B624" s="30"/>
      <c r="C624" s="30"/>
      <c r="D624" s="30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</row>
    <row r="625" spans="2:16" x14ac:dyDescent="0.25">
      <c r="B625" s="30"/>
      <c r="C625" s="30"/>
      <c r="D625" s="30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</row>
    <row r="626" spans="2:16" x14ac:dyDescent="0.25">
      <c r="B626" s="30"/>
      <c r="C626" s="30"/>
      <c r="D626" s="30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</row>
    <row r="627" spans="2:16" x14ac:dyDescent="0.25">
      <c r="B627" s="30"/>
      <c r="C627" s="30"/>
      <c r="D627" s="30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</row>
    <row r="628" spans="2:16" x14ac:dyDescent="0.25">
      <c r="B628" s="30"/>
      <c r="C628" s="30"/>
      <c r="D628" s="30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</row>
    <row r="629" spans="2:16" x14ac:dyDescent="0.25">
      <c r="B629" s="30"/>
      <c r="C629" s="30"/>
      <c r="D629" s="30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</row>
    <row r="630" spans="2:16" x14ac:dyDescent="0.25">
      <c r="B630" s="30"/>
      <c r="C630" s="30"/>
      <c r="D630" s="30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</row>
    <row r="631" spans="2:16" x14ac:dyDescent="0.25">
      <c r="B631" s="30"/>
      <c r="C631" s="30"/>
      <c r="D631" s="30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</row>
    <row r="632" spans="2:16" x14ac:dyDescent="0.25">
      <c r="B632" s="30"/>
      <c r="C632" s="30"/>
      <c r="D632" s="30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</row>
    <row r="633" spans="2:16" x14ac:dyDescent="0.25">
      <c r="B633" s="30"/>
      <c r="C633" s="30"/>
      <c r="D633" s="30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</row>
    <row r="634" spans="2:16" x14ac:dyDescent="0.25">
      <c r="B634" s="30"/>
      <c r="C634" s="30"/>
      <c r="D634" s="30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</row>
    <row r="635" spans="2:16" x14ac:dyDescent="0.25">
      <c r="B635" s="30"/>
      <c r="C635" s="30"/>
      <c r="D635" s="30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</row>
    <row r="636" spans="2:16" x14ac:dyDescent="0.25">
      <c r="B636" s="30"/>
      <c r="C636" s="30"/>
      <c r="D636" s="30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</row>
    <row r="637" spans="2:16" x14ac:dyDescent="0.25">
      <c r="B637" s="30"/>
      <c r="C637" s="30"/>
      <c r="D637" s="30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</row>
    <row r="638" spans="2:16" x14ac:dyDescent="0.25">
      <c r="B638" s="30"/>
      <c r="C638" s="30"/>
      <c r="D638" s="30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</row>
    <row r="639" spans="2:16" x14ac:dyDescent="0.25">
      <c r="B639" s="30"/>
      <c r="C639" s="30"/>
      <c r="D639" s="30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</row>
    <row r="640" spans="2:16" x14ac:dyDescent="0.25">
      <c r="B640" s="30"/>
      <c r="C640" s="30"/>
      <c r="D640" s="30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</row>
    <row r="641" spans="2:16" x14ac:dyDescent="0.25">
      <c r="B641" s="30"/>
      <c r="C641" s="30"/>
      <c r="D641" s="30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</row>
    <row r="642" spans="2:16" x14ac:dyDescent="0.25">
      <c r="B642" s="30"/>
      <c r="C642" s="30"/>
      <c r="D642" s="30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</row>
    <row r="643" spans="2:16" x14ac:dyDescent="0.25">
      <c r="B643" s="30"/>
      <c r="C643" s="30"/>
      <c r="D643" s="30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</row>
    <row r="644" spans="2:16" x14ac:dyDescent="0.25">
      <c r="B644" s="30"/>
      <c r="C644" s="30"/>
      <c r="D644" s="30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</row>
    <row r="645" spans="2:16" x14ac:dyDescent="0.25">
      <c r="B645" s="30"/>
      <c r="C645" s="30"/>
      <c r="D645" s="30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</row>
    <row r="646" spans="2:16" x14ac:dyDescent="0.25">
      <c r="B646" s="30"/>
      <c r="C646" s="30"/>
      <c r="D646" s="30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</row>
    <row r="647" spans="2:16" x14ac:dyDescent="0.25">
      <c r="B647" s="30"/>
      <c r="C647" s="30"/>
      <c r="D647" s="30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</row>
    <row r="648" spans="2:16" x14ac:dyDescent="0.25">
      <c r="B648" s="30"/>
      <c r="C648" s="30"/>
      <c r="D648" s="30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</row>
    <row r="649" spans="2:16" x14ac:dyDescent="0.25">
      <c r="B649" s="30"/>
      <c r="C649" s="30"/>
      <c r="D649" s="30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</row>
    <row r="650" spans="2:16" x14ac:dyDescent="0.25">
      <c r="B650" s="30"/>
      <c r="C650" s="30"/>
      <c r="D650" s="30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</row>
    <row r="651" spans="2:16" x14ac:dyDescent="0.25">
      <c r="B651" s="30"/>
      <c r="C651" s="30"/>
      <c r="D651" s="30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</row>
    <row r="652" spans="2:16" x14ac:dyDescent="0.25">
      <c r="B652" s="30"/>
      <c r="C652" s="30"/>
      <c r="D652" s="30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</row>
    <row r="653" spans="2:16" x14ac:dyDescent="0.25">
      <c r="B653" s="30"/>
      <c r="C653" s="30"/>
      <c r="D653" s="30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</row>
    <row r="654" spans="2:16" x14ac:dyDescent="0.25">
      <c r="B654" s="30"/>
      <c r="C654" s="30"/>
      <c r="D654" s="30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</row>
    <row r="655" spans="2:16" x14ac:dyDescent="0.25">
      <c r="B655" s="30"/>
      <c r="C655" s="30"/>
      <c r="D655" s="30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</row>
    <row r="656" spans="2:16" x14ac:dyDescent="0.25">
      <c r="B656" s="30"/>
      <c r="C656" s="30"/>
      <c r="D656" s="30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</row>
    <row r="657" spans="2:16" x14ac:dyDescent="0.25">
      <c r="B657" s="30"/>
      <c r="C657" s="30"/>
      <c r="D657" s="30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</row>
    <row r="658" spans="2:16" x14ac:dyDescent="0.25">
      <c r="B658" s="30"/>
      <c r="C658" s="30"/>
      <c r="D658" s="30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</row>
    <row r="659" spans="2:16" x14ac:dyDescent="0.25">
      <c r="B659" s="30"/>
      <c r="C659" s="30"/>
      <c r="D659" s="30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</row>
    <row r="660" spans="2:16" x14ac:dyDescent="0.25">
      <c r="B660" s="30"/>
      <c r="C660" s="30"/>
      <c r="D660" s="30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</row>
    <row r="661" spans="2:16" x14ac:dyDescent="0.25">
      <c r="B661" s="30"/>
      <c r="C661" s="30"/>
      <c r="D661" s="30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</row>
    <row r="662" spans="2:16" x14ac:dyDescent="0.25">
      <c r="B662" s="30"/>
      <c r="C662" s="30"/>
      <c r="D662" s="30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</row>
    <row r="663" spans="2:16" x14ac:dyDescent="0.25">
      <c r="B663" s="30"/>
      <c r="C663" s="30"/>
      <c r="D663" s="30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</row>
    <row r="664" spans="2:16" x14ac:dyDescent="0.25">
      <c r="B664" s="30"/>
      <c r="C664" s="30"/>
      <c r="D664" s="30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</row>
    <row r="665" spans="2:16" x14ac:dyDescent="0.25">
      <c r="B665" s="30"/>
      <c r="C665" s="30"/>
      <c r="D665" s="30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</row>
    <row r="666" spans="2:16" x14ac:dyDescent="0.25">
      <c r="B666" s="30"/>
      <c r="C666" s="30"/>
      <c r="D666" s="30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</row>
    <row r="667" spans="2:16" x14ac:dyDescent="0.25">
      <c r="B667" s="30"/>
      <c r="C667" s="30"/>
      <c r="D667" s="30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</row>
    <row r="668" spans="2:16" x14ac:dyDescent="0.25">
      <c r="B668" s="30"/>
      <c r="C668" s="30"/>
      <c r="D668" s="30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</row>
    <row r="669" spans="2:16" x14ac:dyDescent="0.25">
      <c r="B669" s="30"/>
      <c r="C669" s="30"/>
      <c r="D669" s="30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</row>
    <row r="670" spans="2:16" x14ac:dyDescent="0.25">
      <c r="B670" s="30"/>
      <c r="C670" s="30"/>
      <c r="D670" s="30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</row>
    <row r="671" spans="2:16" x14ac:dyDescent="0.25">
      <c r="B671" s="30"/>
      <c r="C671" s="30"/>
      <c r="D671" s="30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</row>
    <row r="672" spans="2:16" x14ac:dyDescent="0.25">
      <c r="B672" s="30"/>
      <c r="C672" s="30"/>
      <c r="D672" s="30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</row>
    <row r="673" spans="2:16" x14ac:dyDescent="0.25">
      <c r="B673" s="30"/>
      <c r="C673" s="30"/>
      <c r="D673" s="30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</row>
    <row r="674" spans="2:16" x14ac:dyDescent="0.25">
      <c r="B674" s="30"/>
      <c r="C674" s="30"/>
      <c r="D674" s="30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</row>
    <row r="675" spans="2:16" x14ac:dyDescent="0.25">
      <c r="B675" s="30"/>
      <c r="C675" s="30"/>
      <c r="D675" s="30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</row>
    <row r="676" spans="2:16" x14ac:dyDescent="0.25">
      <c r="B676" s="30"/>
      <c r="C676" s="30"/>
      <c r="D676" s="30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</row>
    <row r="677" spans="2:16" x14ac:dyDescent="0.25">
      <c r="B677" s="30"/>
      <c r="C677" s="30"/>
      <c r="D677" s="30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</row>
    <row r="678" spans="2:16" x14ac:dyDescent="0.25">
      <c r="B678" s="30"/>
      <c r="C678" s="30"/>
      <c r="D678" s="30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</row>
    <row r="679" spans="2:16" x14ac:dyDescent="0.25">
      <c r="B679" s="30"/>
      <c r="C679" s="30"/>
      <c r="D679" s="30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</row>
    <row r="680" spans="2:16" x14ac:dyDescent="0.25">
      <c r="B680" s="30"/>
      <c r="C680" s="30"/>
      <c r="D680" s="30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</row>
    <row r="681" spans="2:16" x14ac:dyDescent="0.25">
      <c r="B681" s="30"/>
      <c r="C681" s="30"/>
      <c r="D681" s="30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</row>
    <row r="682" spans="2:16" x14ac:dyDescent="0.25">
      <c r="B682" s="30"/>
      <c r="C682" s="30"/>
      <c r="D682" s="30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</row>
    <row r="683" spans="2:16" x14ac:dyDescent="0.25">
      <c r="B683" s="30"/>
      <c r="C683" s="30"/>
      <c r="D683" s="30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</row>
    <row r="684" spans="2:16" x14ac:dyDescent="0.25">
      <c r="B684" s="30"/>
      <c r="C684" s="30"/>
      <c r="D684" s="30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</row>
    <row r="685" spans="2:16" x14ac:dyDescent="0.25">
      <c r="B685" s="30"/>
      <c r="C685" s="30"/>
      <c r="D685" s="30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</row>
    <row r="686" spans="2:16" x14ac:dyDescent="0.25">
      <c r="B686" s="30"/>
      <c r="C686" s="30"/>
      <c r="D686" s="30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</row>
    <row r="687" spans="2:16" x14ac:dyDescent="0.25">
      <c r="B687" s="30"/>
      <c r="C687" s="30"/>
      <c r="D687" s="30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</row>
    <row r="688" spans="2:16" x14ac:dyDescent="0.25">
      <c r="B688" s="30"/>
      <c r="C688" s="30"/>
      <c r="D688" s="30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</row>
    <row r="689" spans="2:16" x14ac:dyDescent="0.25">
      <c r="B689" s="30"/>
      <c r="C689" s="30"/>
      <c r="D689" s="30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</row>
    <row r="690" spans="2:16" x14ac:dyDescent="0.25">
      <c r="B690" s="30"/>
      <c r="C690" s="30"/>
      <c r="D690" s="30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</row>
    <row r="691" spans="2:16" x14ac:dyDescent="0.25">
      <c r="B691" s="30"/>
      <c r="C691" s="30"/>
      <c r="D691" s="30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</row>
    <row r="692" spans="2:16" x14ac:dyDescent="0.25">
      <c r="B692" s="30"/>
      <c r="C692" s="30"/>
      <c r="D692" s="30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</row>
    <row r="693" spans="2:16" x14ac:dyDescent="0.25">
      <c r="B693" s="30"/>
      <c r="C693" s="30"/>
      <c r="D693" s="30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</row>
    <row r="694" spans="2:16" x14ac:dyDescent="0.25">
      <c r="B694" s="30"/>
      <c r="C694" s="30"/>
      <c r="D694" s="30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</row>
    <row r="695" spans="2:16" x14ac:dyDescent="0.25">
      <c r="B695" s="30"/>
      <c r="C695" s="30"/>
      <c r="D695" s="30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</row>
    <row r="696" spans="2:16" x14ac:dyDescent="0.25">
      <c r="B696" s="30"/>
      <c r="C696" s="30"/>
      <c r="D696" s="30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</row>
    <row r="697" spans="2:16" x14ac:dyDescent="0.25">
      <c r="B697" s="30"/>
      <c r="C697" s="30"/>
      <c r="D697" s="30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</row>
    <row r="698" spans="2:16" x14ac:dyDescent="0.25">
      <c r="B698" s="30"/>
      <c r="C698" s="30"/>
      <c r="D698" s="30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</row>
    <row r="699" spans="2:16" x14ac:dyDescent="0.25">
      <c r="B699" s="30"/>
      <c r="C699" s="30"/>
      <c r="D699" s="30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</row>
    <row r="700" spans="2:16" x14ac:dyDescent="0.25">
      <c r="B700" s="30"/>
      <c r="C700" s="30"/>
      <c r="D700" s="30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</row>
    <row r="701" spans="2:16" x14ac:dyDescent="0.25">
      <c r="B701" s="30"/>
      <c r="C701" s="30"/>
      <c r="D701" s="30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</row>
    <row r="702" spans="2:16" x14ac:dyDescent="0.25">
      <c r="B702" s="30"/>
      <c r="C702" s="30"/>
      <c r="D702" s="30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</row>
    <row r="703" spans="2:16" x14ac:dyDescent="0.25">
      <c r="B703" s="30"/>
      <c r="C703" s="30"/>
      <c r="D703" s="30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</row>
    <row r="704" spans="2:16" x14ac:dyDescent="0.25">
      <c r="B704" s="30"/>
      <c r="C704" s="30"/>
      <c r="D704" s="30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</row>
    <row r="705" spans="2:16" x14ac:dyDescent="0.25">
      <c r="B705" s="30"/>
      <c r="C705" s="30"/>
      <c r="D705" s="30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</row>
    <row r="706" spans="2:16" x14ac:dyDescent="0.25">
      <c r="B706" s="30"/>
      <c r="C706" s="30"/>
      <c r="D706" s="30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</row>
    <row r="707" spans="2:16" x14ac:dyDescent="0.25">
      <c r="B707" s="30"/>
      <c r="C707" s="30"/>
      <c r="D707" s="30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</row>
    <row r="708" spans="2:16" x14ac:dyDescent="0.25">
      <c r="B708" s="30"/>
      <c r="C708" s="30"/>
      <c r="D708" s="30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</row>
    <row r="709" spans="2:16" x14ac:dyDescent="0.25">
      <c r="B709" s="30"/>
      <c r="C709" s="30"/>
      <c r="D709" s="30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</row>
    <row r="710" spans="2:16" x14ac:dyDescent="0.25">
      <c r="B710" s="30"/>
      <c r="C710" s="30"/>
      <c r="D710" s="30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</row>
    <row r="711" spans="2:16" x14ac:dyDescent="0.25">
      <c r="B711" s="30"/>
      <c r="C711" s="30"/>
      <c r="D711" s="30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</row>
    <row r="712" spans="2:16" x14ac:dyDescent="0.25">
      <c r="B712" s="30"/>
      <c r="C712" s="30"/>
      <c r="D712" s="30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</row>
    <row r="713" spans="2:16" x14ac:dyDescent="0.25">
      <c r="B713" s="30"/>
      <c r="C713" s="30"/>
      <c r="D713" s="30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</row>
    <row r="714" spans="2:16" x14ac:dyDescent="0.25">
      <c r="B714" s="30"/>
      <c r="C714" s="30"/>
      <c r="D714" s="30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</row>
    <row r="715" spans="2:16" x14ac:dyDescent="0.25">
      <c r="B715" s="30"/>
      <c r="C715" s="30"/>
      <c r="D715" s="30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</row>
    <row r="716" spans="2:16" x14ac:dyDescent="0.25">
      <c r="B716" s="30"/>
      <c r="C716" s="30"/>
      <c r="D716" s="30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</row>
    <row r="717" spans="2:16" x14ac:dyDescent="0.25">
      <c r="B717" s="30"/>
      <c r="C717" s="30"/>
      <c r="D717" s="30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</row>
    <row r="718" spans="2:16" x14ac:dyDescent="0.25">
      <c r="B718" s="30"/>
      <c r="C718" s="30"/>
      <c r="D718" s="30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</row>
    <row r="719" spans="2:16" x14ac:dyDescent="0.25">
      <c r="B719" s="30"/>
      <c r="C719" s="30"/>
      <c r="D719" s="30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</row>
    <row r="720" spans="2:16" x14ac:dyDescent="0.25">
      <c r="B720" s="30"/>
      <c r="C720" s="30"/>
      <c r="D720" s="30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</row>
    <row r="721" spans="2:16" x14ac:dyDescent="0.25">
      <c r="B721" s="30"/>
      <c r="C721" s="30"/>
      <c r="D721" s="30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</row>
    <row r="722" spans="2:16" x14ac:dyDescent="0.25">
      <c r="B722" s="30"/>
      <c r="C722" s="30"/>
      <c r="D722" s="30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</row>
    <row r="723" spans="2:16" x14ac:dyDescent="0.25">
      <c r="B723" s="30"/>
      <c r="C723" s="30"/>
      <c r="D723" s="30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</row>
    <row r="724" spans="2:16" x14ac:dyDescent="0.25">
      <c r="B724" s="30"/>
      <c r="C724" s="30"/>
      <c r="D724" s="30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</row>
    <row r="725" spans="2:16" x14ac:dyDescent="0.25">
      <c r="B725" s="30"/>
      <c r="C725" s="30"/>
      <c r="D725" s="30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</row>
    <row r="726" spans="2:16" x14ac:dyDescent="0.25">
      <c r="B726" s="30"/>
      <c r="C726" s="30"/>
      <c r="D726" s="30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</row>
    <row r="727" spans="2:16" x14ac:dyDescent="0.25">
      <c r="B727" s="30"/>
      <c r="C727" s="30"/>
      <c r="D727" s="30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</row>
    <row r="728" spans="2:16" x14ac:dyDescent="0.25">
      <c r="B728" s="30"/>
      <c r="C728" s="30"/>
      <c r="D728" s="30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</row>
    <row r="729" spans="2:16" x14ac:dyDescent="0.25">
      <c r="B729" s="30"/>
      <c r="C729" s="30"/>
      <c r="D729" s="30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</row>
    <row r="730" spans="2:16" x14ac:dyDescent="0.25">
      <c r="B730" s="30"/>
      <c r="C730" s="30"/>
      <c r="D730" s="30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</row>
    <row r="731" spans="2:16" x14ac:dyDescent="0.25">
      <c r="B731" s="30"/>
      <c r="C731" s="30"/>
      <c r="D731" s="30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</row>
    <row r="732" spans="2:16" x14ac:dyDescent="0.25">
      <c r="B732" s="30"/>
      <c r="C732" s="30"/>
      <c r="D732" s="30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</row>
    <row r="733" spans="2:16" x14ac:dyDescent="0.25">
      <c r="B733" s="30"/>
      <c r="C733" s="30"/>
      <c r="D733" s="30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</row>
    <row r="734" spans="2:16" x14ac:dyDescent="0.25">
      <c r="B734" s="30"/>
      <c r="C734" s="30"/>
      <c r="D734" s="30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</row>
    <row r="735" spans="2:16" x14ac:dyDescent="0.25">
      <c r="B735" s="30"/>
      <c r="C735" s="30"/>
      <c r="D735" s="30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</row>
    <row r="736" spans="2:16" x14ac:dyDescent="0.25">
      <c r="B736" s="30"/>
      <c r="C736" s="30"/>
      <c r="D736" s="30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</row>
    <row r="737" spans="2:16" x14ac:dyDescent="0.25">
      <c r="B737" s="30"/>
      <c r="C737" s="30"/>
      <c r="D737" s="30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</row>
    <row r="738" spans="2:16" x14ac:dyDescent="0.25">
      <c r="B738" s="30"/>
      <c r="C738" s="30"/>
      <c r="D738" s="30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</row>
    <row r="739" spans="2:16" x14ac:dyDescent="0.25">
      <c r="B739" s="30"/>
      <c r="C739" s="30"/>
      <c r="D739" s="30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</row>
    <row r="740" spans="2:16" x14ac:dyDescent="0.25">
      <c r="B740" s="30"/>
      <c r="C740" s="30"/>
      <c r="D740" s="30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</row>
    <row r="741" spans="2:16" x14ac:dyDescent="0.25">
      <c r="B741" s="30"/>
      <c r="C741" s="30"/>
      <c r="D741" s="30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</row>
    <row r="742" spans="2:16" x14ac:dyDescent="0.25">
      <c r="B742" s="30"/>
      <c r="C742" s="30"/>
      <c r="D742" s="30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</row>
    <row r="743" spans="2:16" x14ac:dyDescent="0.25">
      <c r="B743" s="30"/>
      <c r="C743" s="30"/>
      <c r="D743" s="30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</row>
    <row r="744" spans="2:16" x14ac:dyDescent="0.25">
      <c r="B744" s="30"/>
      <c r="C744" s="30"/>
      <c r="D744" s="30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</row>
    <row r="745" spans="2:16" x14ac:dyDescent="0.25">
      <c r="B745" s="30"/>
      <c r="C745" s="30"/>
      <c r="D745" s="30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</row>
    <row r="746" spans="2:16" x14ac:dyDescent="0.25">
      <c r="B746" s="30"/>
      <c r="C746" s="30"/>
      <c r="D746" s="30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</row>
    <row r="747" spans="2:16" x14ac:dyDescent="0.25">
      <c r="B747" s="30"/>
      <c r="C747" s="30"/>
      <c r="D747" s="30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</row>
    <row r="748" spans="2:16" x14ac:dyDescent="0.25">
      <c r="B748" s="30"/>
      <c r="C748" s="30"/>
      <c r="D748" s="30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</row>
    <row r="749" spans="2:16" x14ac:dyDescent="0.25">
      <c r="B749" s="30"/>
      <c r="C749" s="30"/>
      <c r="D749" s="30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</row>
    <row r="750" spans="2:16" x14ac:dyDescent="0.25">
      <c r="B750" s="30"/>
      <c r="C750" s="30"/>
      <c r="D750" s="30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</row>
    <row r="751" spans="2:16" x14ac:dyDescent="0.25">
      <c r="B751" s="30"/>
      <c r="C751" s="30"/>
      <c r="D751" s="30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</row>
    <row r="752" spans="2:16" x14ac:dyDescent="0.25">
      <c r="B752" s="30"/>
      <c r="C752" s="30"/>
      <c r="D752" s="30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</row>
    <row r="753" spans="2:16" x14ac:dyDescent="0.25">
      <c r="B753" s="30"/>
      <c r="C753" s="30"/>
      <c r="D753" s="30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</row>
    <row r="754" spans="2:16" x14ac:dyDescent="0.25">
      <c r="B754" s="30"/>
      <c r="C754" s="30"/>
      <c r="D754" s="30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</row>
    <row r="755" spans="2:16" x14ac:dyDescent="0.25">
      <c r="B755" s="30"/>
      <c r="C755" s="30"/>
      <c r="D755" s="30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</row>
    <row r="756" spans="2:16" x14ac:dyDescent="0.25">
      <c r="B756" s="30"/>
      <c r="C756" s="30"/>
      <c r="D756" s="30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</row>
    <row r="757" spans="2:16" x14ac:dyDescent="0.25">
      <c r="B757" s="30"/>
      <c r="C757" s="30"/>
      <c r="D757" s="30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</row>
    <row r="758" spans="2:16" x14ac:dyDescent="0.25">
      <c r="B758" s="30"/>
      <c r="C758" s="30"/>
      <c r="D758" s="30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</row>
    <row r="759" spans="2:16" x14ac:dyDescent="0.25">
      <c r="B759" s="30"/>
      <c r="C759" s="30"/>
      <c r="D759" s="30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</row>
    <row r="760" spans="2:16" x14ac:dyDescent="0.25">
      <c r="B760" s="30"/>
      <c r="C760" s="30"/>
      <c r="D760" s="30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</row>
    <row r="761" spans="2:16" x14ac:dyDescent="0.25">
      <c r="B761" s="30"/>
      <c r="C761" s="30"/>
      <c r="D761" s="30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</row>
    <row r="762" spans="2:16" x14ac:dyDescent="0.25">
      <c r="B762" s="30"/>
      <c r="C762" s="30"/>
      <c r="D762" s="30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</row>
    <row r="763" spans="2:16" x14ac:dyDescent="0.25">
      <c r="B763" s="30"/>
      <c r="C763" s="30"/>
      <c r="D763" s="30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</row>
    <row r="764" spans="2:16" x14ac:dyDescent="0.25">
      <c r="B764" s="30"/>
      <c r="C764" s="30"/>
      <c r="D764" s="30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</row>
    <row r="765" spans="2:16" x14ac:dyDescent="0.25">
      <c r="B765" s="30"/>
      <c r="C765" s="30"/>
      <c r="D765" s="30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</row>
    <row r="766" spans="2:16" x14ac:dyDescent="0.25">
      <c r="B766" s="30"/>
      <c r="C766" s="30"/>
      <c r="D766" s="30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</row>
    <row r="767" spans="2:16" x14ac:dyDescent="0.25">
      <c r="B767" s="30"/>
      <c r="C767" s="30"/>
      <c r="D767" s="30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</row>
    <row r="768" spans="2:16" x14ac:dyDescent="0.25">
      <c r="B768" s="30"/>
      <c r="C768" s="30"/>
      <c r="D768" s="30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</row>
    <row r="769" spans="2:16" x14ac:dyDescent="0.25">
      <c r="B769" s="30"/>
      <c r="C769" s="30"/>
      <c r="D769" s="30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</row>
    <row r="770" spans="2:16" x14ac:dyDescent="0.25">
      <c r="B770" s="30"/>
      <c r="C770" s="30"/>
      <c r="D770" s="30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</row>
    <row r="771" spans="2:16" x14ac:dyDescent="0.25">
      <c r="B771" s="30"/>
      <c r="C771" s="30"/>
      <c r="D771" s="30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</row>
    <row r="772" spans="2:16" x14ac:dyDescent="0.25">
      <c r="B772" s="30"/>
      <c r="C772" s="30"/>
      <c r="D772" s="30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</row>
    <row r="773" spans="2:16" x14ac:dyDescent="0.25">
      <c r="B773" s="30"/>
      <c r="C773" s="30"/>
      <c r="D773" s="30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</row>
    <row r="774" spans="2:16" x14ac:dyDescent="0.25">
      <c r="B774" s="30"/>
      <c r="C774" s="30"/>
      <c r="D774" s="30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</row>
    <row r="775" spans="2:16" x14ac:dyDescent="0.25">
      <c r="B775" s="30"/>
      <c r="C775" s="30"/>
      <c r="D775" s="30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</row>
    <row r="776" spans="2:16" x14ac:dyDescent="0.25">
      <c r="B776" s="30"/>
      <c r="C776" s="30"/>
      <c r="D776" s="30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</row>
    <row r="777" spans="2:16" x14ac:dyDescent="0.25">
      <c r="B777" s="30"/>
      <c r="C777" s="30"/>
      <c r="D777" s="30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</row>
    <row r="778" spans="2:16" x14ac:dyDescent="0.25">
      <c r="B778" s="30"/>
      <c r="C778" s="30"/>
      <c r="D778" s="30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</row>
    <row r="779" spans="2:16" x14ac:dyDescent="0.25">
      <c r="B779" s="30"/>
      <c r="C779" s="30"/>
      <c r="D779" s="30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</row>
    <row r="780" spans="2:16" x14ac:dyDescent="0.25">
      <c r="B780" s="30"/>
      <c r="C780" s="30"/>
      <c r="D780" s="30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</row>
    <row r="781" spans="2:16" x14ac:dyDescent="0.25">
      <c r="B781" s="30"/>
      <c r="C781" s="30"/>
      <c r="D781" s="30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</row>
    <row r="782" spans="2:16" x14ac:dyDescent="0.25">
      <c r="B782" s="30"/>
      <c r="C782" s="30"/>
      <c r="D782" s="30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</row>
    <row r="783" spans="2:16" x14ac:dyDescent="0.25">
      <c r="B783" s="30"/>
      <c r="C783" s="30"/>
      <c r="D783" s="30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</row>
    <row r="784" spans="2:16" x14ac:dyDescent="0.25">
      <c r="B784" s="30"/>
      <c r="C784" s="30"/>
      <c r="D784" s="30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</row>
    <row r="785" spans="2:16" x14ac:dyDescent="0.25">
      <c r="B785" s="30"/>
      <c r="C785" s="30"/>
      <c r="D785" s="30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</row>
    <row r="786" spans="2:16" x14ac:dyDescent="0.25">
      <c r="B786" s="30"/>
      <c r="C786" s="30"/>
      <c r="D786" s="30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</row>
    <row r="787" spans="2:16" x14ac:dyDescent="0.25">
      <c r="B787" s="30"/>
      <c r="C787" s="30"/>
      <c r="D787" s="30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</row>
    <row r="788" spans="2:16" x14ac:dyDescent="0.25">
      <c r="B788" s="30"/>
      <c r="C788" s="30"/>
      <c r="D788" s="30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</row>
    <row r="789" spans="2:16" x14ac:dyDescent="0.25">
      <c r="B789" s="30"/>
      <c r="C789" s="30"/>
      <c r="D789" s="30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</row>
    <row r="790" spans="2:16" x14ac:dyDescent="0.25">
      <c r="B790" s="30"/>
      <c r="C790" s="30"/>
      <c r="D790" s="30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</row>
    <row r="791" spans="2:16" x14ac:dyDescent="0.25">
      <c r="B791" s="30"/>
      <c r="C791" s="30"/>
      <c r="D791" s="30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</row>
    <row r="792" spans="2:16" x14ac:dyDescent="0.25">
      <c r="B792" s="30"/>
      <c r="C792" s="30"/>
      <c r="D792" s="30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</row>
    <row r="793" spans="2:16" x14ac:dyDescent="0.25">
      <c r="B793" s="30"/>
      <c r="C793" s="30"/>
      <c r="D793" s="30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</row>
    <row r="794" spans="2:16" x14ac:dyDescent="0.25">
      <c r="B794" s="30"/>
      <c r="C794" s="30"/>
      <c r="D794" s="30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</row>
    <row r="795" spans="2:16" x14ac:dyDescent="0.25">
      <c r="B795" s="30"/>
      <c r="C795" s="30"/>
      <c r="D795" s="30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</row>
    <row r="796" spans="2:16" x14ac:dyDescent="0.25">
      <c r="B796" s="30"/>
      <c r="C796" s="30"/>
      <c r="D796" s="30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</row>
    <row r="797" spans="2:16" x14ac:dyDescent="0.25">
      <c r="B797" s="30"/>
      <c r="C797" s="30"/>
      <c r="D797" s="30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</row>
    <row r="798" spans="2:16" x14ac:dyDescent="0.25">
      <c r="B798" s="30"/>
      <c r="C798" s="30"/>
      <c r="D798" s="30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</row>
    <row r="799" spans="2:16" x14ac:dyDescent="0.25">
      <c r="B799" s="30"/>
      <c r="C799" s="30"/>
      <c r="D799" s="30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</row>
    <row r="800" spans="2:16" x14ac:dyDescent="0.25">
      <c r="B800" s="30"/>
      <c r="C800" s="30"/>
      <c r="D800" s="30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</row>
    <row r="801" spans="2:16" x14ac:dyDescent="0.25">
      <c r="B801" s="30"/>
      <c r="C801" s="30"/>
      <c r="D801" s="30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</row>
    <row r="802" spans="2:16" x14ac:dyDescent="0.25">
      <c r="B802" s="30"/>
      <c r="C802" s="30"/>
      <c r="D802" s="30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</row>
    <row r="803" spans="2:16" x14ac:dyDescent="0.25">
      <c r="B803" s="30"/>
      <c r="C803" s="30"/>
      <c r="D803" s="30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</row>
    <row r="804" spans="2:16" x14ac:dyDescent="0.25">
      <c r="B804" s="30"/>
      <c r="C804" s="30"/>
      <c r="D804" s="30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</row>
    <row r="805" spans="2:16" x14ac:dyDescent="0.25">
      <c r="B805" s="30"/>
      <c r="C805" s="30"/>
      <c r="D805" s="30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</row>
    <row r="806" spans="2:16" x14ac:dyDescent="0.25">
      <c r="B806" s="30"/>
      <c r="C806" s="30"/>
      <c r="D806" s="30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</row>
    <row r="807" spans="2:16" x14ac:dyDescent="0.25">
      <c r="B807" s="30"/>
      <c r="C807" s="30"/>
      <c r="D807" s="30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</row>
    <row r="808" spans="2:16" x14ac:dyDescent="0.25">
      <c r="B808" s="30"/>
      <c r="C808" s="30"/>
      <c r="D808" s="30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</row>
    <row r="809" spans="2:16" x14ac:dyDescent="0.25">
      <c r="B809" s="30"/>
      <c r="C809" s="30"/>
      <c r="D809" s="30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</row>
    <row r="810" spans="2:16" x14ac:dyDescent="0.25">
      <c r="B810" s="30"/>
      <c r="C810" s="30"/>
      <c r="D810" s="30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</row>
    <row r="811" spans="2:16" x14ac:dyDescent="0.25">
      <c r="B811" s="30"/>
      <c r="C811" s="30"/>
      <c r="D811" s="30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</row>
    <row r="812" spans="2:16" x14ac:dyDescent="0.25">
      <c r="B812" s="30"/>
      <c r="C812" s="30"/>
      <c r="D812" s="30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</row>
    <row r="813" spans="2:16" x14ac:dyDescent="0.25">
      <c r="B813" s="30"/>
      <c r="C813" s="30"/>
      <c r="D813" s="30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</row>
    <row r="814" spans="2:16" x14ac:dyDescent="0.25">
      <c r="B814" s="30"/>
      <c r="C814" s="30"/>
      <c r="D814" s="30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</row>
    <row r="815" spans="2:16" x14ac:dyDescent="0.25">
      <c r="B815" s="30"/>
      <c r="C815" s="30"/>
      <c r="D815" s="30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</row>
    <row r="816" spans="2:16" x14ac:dyDescent="0.25">
      <c r="B816" s="30"/>
      <c r="C816" s="30"/>
      <c r="D816" s="30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</row>
    <row r="817" spans="2:16" x14ac:dyDescent="0.25">
      <c r="B817" s="30"/>
      <c r="C817" s="30"/>
      <c r="D817" s="30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</row>
    <row r="818" spans="2:16" x14ac:dyDescent="0.25">
      <c r="B818" s="30"/>
      <c r="C818" s="30"/>
      <c r="D818" s="30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</row>
    <row r="819" spans="2:16" x14ac:dyDescent="0.25">
      <c r="B819" s="30"/>
      <c r="C819" s="30"/>
      <c r="D819" s="30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</row>
    <row r="820" spans="2:16" x14ac:dyDescent="0.25">
      <c r="B820" s="30"/>
      <c r="C820" s="30"/>
      <c r="D820" s="30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</row>
    <row r="821" spans="2:16" x14ac:dyDescent="0.25">
      <c r="B821" s="30"/>
      <c r="C821" s="30"/>
      <c r="D821" s="30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</row>
    <row r="822" spans="2:16" x14ac:dyDescent="0.25">
      <c r="B822" s="30"/>
      <c r="C822" s="30"/>
      <c r="D822" s="30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</row>
    <row r="823" spans="2:16" x14ac:dyDescent="0.25">
      <c r="B823" s="30"/>
      <c r="C823" s="30"/>
      <c r="D823" s="30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</row>
    <row r="824" spans="2:16" x14ac:dyDescent="0.25">
      <c r="B824" s="30"/>
      <c r="C824" s="30"/>
      <c r="D824" s="30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</row>
    <row r="825" spans="2:16" x14ac:dyDescent="0.25">
      <c r="B825" s="30"/>
      <c r="C825" s="30"/>
      <c r="D825" s="30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</row>
    <row r="826" spans="2:16" x14ac:dyDescent="0.25">
      <c r="B826" s="30"/>
      <c r="C826" s="30"/>
      <c r="D826" s="30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</row>
    <row r="827" spans="2:16" x14ac:dyDescent="0.25">
      <c r="B827" s="30"/>
      <c r="C827" s="30"/>
      <c r="D827" s="30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</row>
    <row r="828" spans="2:16" x14ac:dyDescent="0.25">
      <c r="B828" s="30"/>
      <c r="C828" s="30"/>
      <c r="D828" s="30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</row>
    <row r="829" spans="2:16" x14ac:dyDescent="0.25">
      <c r="B829" s="30"/>
      <c r="C829" s="30"/>
      <c r="D829" s="30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</row>
    <row r="830" spans="2:16" x14ac:dyDescent="0.25">
      <c r="B830" s="30"/>
      <c r="C830" s="30"/>
      <c r="D830" s="30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</row>
    <row r="831" spans="2:16" x14ac:dyDescent="0.25">
      <c r="B831" s="30"/>
      <c r="C831" s="30"/>
      <c r="D831" s="30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</row>
    <row r="832" spans="2:16" x14ac:dyDescent="0.25">
      <c r="B832" s="30"/>
      <c r="C832" s="30"/>
      <c r="D832" s="30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</row>
    <row r="833" spans="2:16" x14ac:dyDescent="0.25">
      <c r="B833" s="30"/>
      <c r="C833" s="30"/>
      <c r="D833" s="30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</row>
    <row r="834" spans="2:16" x14ac:dyDescent="0.25">
      <c r="B834" s="30"/>
      <c r="C834" s="30"/>
      <c r="D834" s="30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</row>
    <row r="835" spans="2:16" x14ac:dyDescent="0.25">
      <c r="B835" s="30"/>
      <c r="C835" s="30"/>
      <c r="D835" s="30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</row>
    <row r="836" spans="2:16" x14ac:dyDescent="0.25">
      <c r="B836" s="30"/>
      <c r="C836" s="30"/>
      <c r="D836" s="30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</row>
    <row r="837" spans="2:16" x14ac:dyDescent="0.25">
      <c r="B837" s="30"/>
      <c r="C837" s="30"/>
      <c r="D837" s="30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</row>
    <row r="838" spans="2:16" x14ac:dyDescent="0.25">
      <c r="B838" s="30"/>
      <c r="C838" s="30"/>
      <c r="D838" s="30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</row>
    <row r="839" spans="2:16" x14ac:dyDescent="0.25">
      <c r="B839" s="30"/>
      <c r="C839" s="30"/>
      <c r="D839" s="30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</row>
    <row r="840" spans="2:16" x14ac:dyDescent="0.25">
      <c r="B840" s="30"/>
      <c r="C840" s="30"/>
      <c r="D840" s="30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</row>
    <row r="841" spans="2:16" x14ac:dyDescent="0.25">
      <c r="B841" s="30"/>
      <c r="C841" s="30"/>
      <c r="D841" s="30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</row>
    <row r="842" spans="2:16" x14ac:dyDescent="0.25">
      <c r="B842" s="30"/>
      <c r="C842" s="30"/>
      <c r="D842" s="30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</row>
    <row r="843" spans="2:16" x14ac:dyDescent="0.25">
      <c r="B843" s="30"/>
      <c r="C843" s="30"/>
      <c r="D843" s="30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</row>
    <row r="844" spans="2:16" x14ac:dyDescent="0.25">
      <c r="B844" s="30"/>
      <c r="C844" s="30"/>
      <c r="D844" s="30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</row>
    <row r="845" spans="2:16" x14ac:dyDescent="0.25">
      <c r="B845" s="30"/>
      <c r="C845" s="30"/>
      <c r="D845" s="30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</row>
    <row r="846" spans="2:16" x14ac:dyDescent="0.25">
      <c r="B846" s="30"/>
      <c r="C846" s="30"/>
      <c r="D846" s="30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</row>
    <row r="847" spans="2:16" x14ac:dyDescent="0.25">
      <c r="B847" s="30"/>
      <c r="C847" s="30"/>
      <c r="D847" s="30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</row>
    <row r="848" spans="2:16" x14ac:dyDescent="0.25">
      <c r="B848" s="30"/>
      <c r="C848" s="30"/>
      <c r="D848" s="30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</row>
    <row r="849" spans="2:16" x14ac:dyDescent="0.25">
      <c r="B849" s="30"/>
      <c r="C849" s="30"/>
      <c r="D849" s="30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</row>
    <row r="850" spans="2:16" x14ac:dyDescent="0.25">
      <c r="B850" s="30"/>
      <c r="C850" s="30"/>
      <c r="D850" s="30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</row>
    <row r="851" spans="2:16" x14ac:dyDescent="0.25">
      <c r="B851" s="30"/>
      <c r="C851" s="30"/>
      <c r="D851" s="30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</row>
    <row r="852" spans="2:16" x14ac:dyDescent="0.25">
      <c r="B852" s="30"/>
      <c r="C852" s="30"/>
      <c r="D852" s="30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</row>
    <row r="853" spans="2:16" x14ac:dyDescent="0.25">
      <c r="B853" s="30"/>
      <c r="C853" s="30"/>
      <c r="D853" s="30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</row>
    <row r="854" spans="2:16" x14ac:dyDescent="0.25">
      <c r="B854" s="30"/>
      <c r="C854" s="30"/>
      <c r="D854" s="30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</row>
    <row r="855" spans="2:16" x14ac:dyDescent="0.25">
      <c r="B855" s="30"/>
      <c r="C855" s="30"/>
      <c r="D855" s="30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</row>
    <row r="856" spans="2:16" x14ac:dyDescent="0.25">
      <c r="B856" s="30"/>
      <c r="C856" s="30"/>
      <c r="D856" s="30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</row>
    <row r="857" spans="2:16" x14ac:dyDescent="0.25">
      <c r="B857" s="30"/>
      <c r="C857" s="30"/>
      <c r="D857" s="30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</row>
    <row r="858" spans="2:16" x14ac:dyDescent="0.25">
      <c r="B858" s="30"/>
      <c r="C858" s="30"/>
      <c r="D858" s="30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</row>
    <row r="859" spans="2:16" x14ac:dyDescent="0.25">
      <c r="B859" s="30"/>
      <c r="C859" s="30"/>
      <c r="D859" s="30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</row>
    <row r="860" spans="2:16" x14ac:dyDescent="0.25">
      <c r="B860" s="30"/>
      <c r="C860" s="30"/>
      <c r="D860" s="30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</row>
    <row r="861" spans="2:16" x14ac:dyDescent="0.25">
      <c r="B861" s="30"/>
      <c r="C861" s="30"/>
      <c r="D861" s="30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</row>
    <row r="862" spans="2:16" x14ac:dyDescent="0.25">
      <c r="B862" s="30"/>
      <c r="C862" s="30"/>
      <c r="D862" s="30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</row>
    <row r="863" spans="2:16" x14ac:dyDescent="0.25">
      <c r="B863" s="30"/>
      <c r="C863" s="30"/>
      <c r="D863" s="30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</row>
    <row r="864" spans="2:16" x14ac:dyDescent="0.25">
      <c r="B864" s="30"/>
      <c r="C864" s="30"/>
      <c r="D864" s="30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</row>
    <row r="865" spans="2:16" x14ac:dyDescent="0.25">
      <c r="B865" s="30"/>
      <c r="C865" s="30"/>
      <c r="D865" s="30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</row>
    <row r="866" spans="2:16" x14ac:dyDescent="0.25">
      <c r="B866" s="30"/>
      <c r="C866" s="30"/>
      <c r="D866" s="30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</row>
    <row r="867" spans="2:16" x14ac:dyDescent="0.25">
      <c r="B867" s="30"/>
      <c r="C867" s="30"/>
      <c r="D867" s="30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</row>
    <row r="868" spans="2:16" x14ac:dyDescent="0.25">
      <c r="B868" s="30"/>
      <c r="C868" s="30"/>
      <c r="D868" s="30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</row>
    <row r="869" spans="2:16" x14ac:dyDescent="0.25">
      <c r="B869" s="30"/>
      <c r="C869" s="30"/>
      <c r="D869" s="30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</row>
    <row r="870" spans="2:16" x14ac:dyDescent="0.25">
      <c r="B870" s="30"/>
      <c r="C870" s="30"/>
      <c r="D870" s="30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</row>
    <row r="871" spans="2:16" x14ac:dyDescent="0.25">
      <c r="B871" s="30"/>
      <c r="C871" s="30"/>
      <c r="D871" s="30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</row>
    <row r="872" spans="2:16" x14ac:dyDescent="0.25">
      <c r="B872" s="30"/>
      <c r="C872" s="30"/>
      <c r="D872" s="30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</row>
    <row r="873" spans="2:16" x14ac:dyDescent="0.25">
      <c r="B873" s="30"/>
      <c r="C873" s="30"/>
      <c r="D873" s="30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</row>
    <row r="874" spans="2:16" x14ac:dyDescent="0.25">
      <c r="B874" s="30"/>
      <c r="C874" s="30"/>
      <c r="D874" s="30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</row>
    <row r="875" spans="2:16" x14ac:dyDescent="0.25">
      <c r="B875" s="30"/>
      <c r="C875" s="30"/>
      <c r="D875" s="30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</row>
    <row r="876" spans="2:16" x14ac:dyDescent="0.25">
      <c r="B876" s="30"/>
      <c r="C876" s="30"/>
      <c r="D876" s="30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</row>
    <row r="877" spans="2:16" x14ac:dyDescent="0.25">
      <c r="B877" s="30"/>
      <c r="C877" s="30"/>
      <c r="D877" s="30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</row>
    <row r="878" spans="2:16" x14ac:dyDescent="0.25">
      <c r="B878" s="30"/>
      <c r="C878" s="30"/>
      <c r="D878" s="30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</row>
    <row r="879" spans="2:16" x14ac:dyDescent="0.25">
      <c r="B879" s="30"/>
      <c r="C879" s="30"/>
      <c r="D879" s="30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</row>
    <row r="880" spans="2:16" x14ac:dyDescent="0.25">
      <c r="B880" s="30"/>
      <c r="C880" s="30"/>
      <c r="D880" s="30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</row>
    <row r="881" spans="2:16" x14ac:dyDescent="0.25">
      <c r="B881" s="30"/>
      <c r="C881" s="30"/>
      <c r="D881" s="30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</row>
    <row r="882" spans="2:16" x14ac:dyDescent="0.25">
      <c r="B882" s="30"/>
      <c r="C882" s="30"/>
      <c r="D882" s="30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</row>
    <row r="883" spans="2:16" x14ac:dyDescent="0.25">
      <c r="B883" s="30"/>
      <c r="C883" s="30"/>
      <c r="D883" s="30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</row>
    <row r="884" spans="2:16" x14ac:dyDescent="0.25">
      <c r="B884" s="30"/>
      <c r="C884" s="30"/>
      <c r="D884" s="30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</row>
    <row r="885" spans="2:16" x14ac:dyDescent="0.25">
      <c r="B885" s="30"/>
      <c r="C885" s="30"/>
      <c r="D885" s="30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</row>
    <row r="886" spans="2:16" x14ac:dyDescent="0.25">
      <c r="B886" s="30"/>
      <c r="C886" s="30"/>
      <c r="D886" s="30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</row>
    <row r="887" spans="2:16" x14ac:dyDescent="0.25">
      <c r="B887" s="30"/>
      <c r="C887" s="30"/>
      <c r="D887" s="30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</row>
    <row r="888" spans="2:16" x14ac:dyDescent="0.25">
      <c r="B888" s="30"/>
      <c r="C888" s="30"/>
      <c r="D888" s="30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</row>
    <row r="889" spans="2:16" x14ac:dyDescent="0.25">
      <c r="B889" s="30"/>
      <c r="C889" s="30"/>
      <c r="D889" s="30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</row>
    <row r="890" spans="2:16" x14ac:dyDescent="0.25">
      <c r="B890" s="30"/>
      <c r="C890" s="30"/>
      <c r="D890" s="30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</row>
    <row r="891" spans="2:16" x14ac:dyDescent="0.25">
      <c r="B891" s="30"/>
      <c r="C891" s="30"/>
      <c r="D891" s="30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</row>
    <row r="892" spans="2:16" x14ac:dyDescent="0.25">
      <c r="B892" s="30"/>
      <c r="C892" s="30"/>
      <c r="D892" s="30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</row>
    <row r="893" spans="2:16" x14ac:dyDescent="0.25">
      <c r="B893" s="30"/>
      <c r="C893" s="30"/>
      <c r="D893" s="30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</row>
    <row r="894" spans="2:16" x14ac:dyDescent="0.25">
      <c r="B894" s="30"/>
      <c r="C894" s="30"/>
      <c r="D894" s="30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</row>
    <row r="895" spans="2:16" x14ac:dyDescent="0.25">
      <c r="B895" s="30"/>
      <c r="C895" s="30"/>
      <c r="D895" s="30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</row>
    <row r="896" spans="2:16" x14ac:dyDescent="0.25">
      <c r="B896" s="30"/>
      <c r="C896" s="30"/>
      <c r="D896" s="30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</row>
    <row r="897" spans="2:16" x14ac:dyDescent="0.25">
      <c r="B897" s="30"/>
      <c r="C897" s="30"/>
      <c r="D897" s="30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</row>
    <row r="898" spans="2:16" x14ac:dyDescent="0.25">
      <c r="B898" s="30"/>
      <c r="C898" s="30"/>
      <c r="D898" s="30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</row>
    <row r="899" spans="2:16" x14ac:dyDescent="0.25">
      <c r="B899" s="30"/>
      <c r="C899" s="30"/>
      <c r="D899" s="30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</row>
    <row r="900" spans="2:16" x14ac:dyDescent="0.25">
      <c r="B900" s="30"/>
      <c r="C900" s="30"/>
      <c r="D900" s="30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</row>
    <row r="901" spans="2:16" x14ac:dyDescent="0.25">
      <c r="B901" s="30"/>
      <c r="C901" s="30"/>
      <c r="D901" s="30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</row>
    <row r="902" spans="2:16" x14ac:dyDescent="0.25">
      <c r="B902" s="30"/>
      <c r="C902" s="30"/>
      <c r="D902" s="30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</row>
    <row r="903" spans="2:16" x14ac:dyDescent="0.25">
      <c r="B903" s="30"/>
      <c r="C903" s="30"/>
      <c r="D903" s="30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</row>
    <row r="904" spans="2:16" x14ac:dyDescent="0.25">
      <c r="B904" s="30"/>
      <c r="C904" s="30"/>
      <c r="D904" s="30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</row>
    <row r="905" spans="2:16" x14ac:dyDescent="0.25">
      <c r="B905" s="30"/>
      <c r="C905" s="30"/>
      <c r="D905" s="30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</row>
    <row r="906" spans="2:16" x14ac:dyDescent="0.25">
      <c r="B906" s="30"/>
      <c r="C906" s="30"/>
      <c r="D906" s="30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</row>
    <row r="907" spans="2:16" x14ac:dyDescent="0.25">
      <c r="B907" s="30"/>
      <c r="C907" s="30"/>
      <c r="D907" s="30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</row>
    <row r="908" spans="2:16" x14ac:dyDescent="0.25">
      <c r="B908" s="30"/>
      <c r="C908" s="30"/>
      <c r="D908" s="30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</row>
    <row r="909" spans="2:16" x14ac:dyDescent="0.25">
      <c r="B909" s="30"/>
      <c r="C909" s="30"/>
      <c r="D909" s="30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</row>
    <row r="910" spans="2:16" x14ac:dyDescent="0.25">
      <c r="B910" s="30"/>
      <c r="C910" s="30"/>
      <c r="D910" s="30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</row>
    <row r="911" spans="2:16" x14ac:dyDescent="0.25">
      <c r="B911" s="30"/>
      <c r="C911" s="30"/>
      <c r="D911" s="30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</row>
    <row r="912" spans="2:16" x14ac:dyDescent="0.25">
      <c r="B912" s="30"/>
      <c r="C912" s="30"/>
      <c r="D912" s="30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</row>
    <row r="913" spans="2:16" x14ac:dyDescent="0.25">
      <c r="B913" s="30"/>
      <c r="C913" s="30"/>
      <c r="D913" s="30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</row>
    <row r="914" spans="2:16" x14ac:dyDescent="0.25">
      <c r="B914" s="30"/>
      <c r="C914" s="30"/>
      <c r="D914" s="30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</row>
    <row r="915" spans="2:16" x14ac:dyDescent="0.25">
      <c r="B915" s="30"/>
      <c r="C915" s="30"/>
      <c r="D915" s="30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</row>
    <row r="916" spans="2:16" x14ac:dyDescent="0.25">
      <c r="B916" s="30"/>
      <c r="C916" s="30"/>
      <c r="D916" s="30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</row>
    <row r="917" spans="2:16" x14ac:dyDescent="0.25">
      <c r="B917" s="30"/>
      <c r="C917" s="30"/>
      <c r="D917" s="30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</row>
    <row r="918" spans="2:16" x14ac:dyDescent="0.25">
      <c r="B918" s="30"/>
      <c r="C918" s="30"/>
      <c r="D918" s="30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</row>
    <row r="919" spans="2:16" x14ac:dyDescent="0.25">
      <c r="B919" s="30"/>
      <c r="C919" s="30"/>
      <c r="D919" s="30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</row>
    <row r="920" spans="2:16" x14ac:dyDescent="0.25">
      <c r="B920" s="30"/>
      <c r="C920" s="30"/>
      <c r="D920" s="30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</row>
    <row r="921" spans="2:16" x14ac:dyDescent="0.25">
      <c r="B921" s="30"/>
      <c r="C921" s="30"/>
      <c r="D921" s="30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</row>
    <row r="922" spans="2:16" x14ac:dyDescent="0.25">
      <c r="B922" s="30"/>
      <c r="C922" s="30"/>
      <c r="D922" s="30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</row>
    <row r="923" spans="2:16" x14ac:dyDescent="0.25">
      <c r="B923" s="30"/>
      <c r="C923" s="30"/>
      <c r="D923" s="30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</row>
    <row r="924" spans="2:16" x14ac:dyDescent="0.25">
      <c r="B924" s="30"/>
      <c r="C924" s="30"/>
      <c r="D924" s="30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</row>
    <row r="925" spans="2:16" x14ac:dyDescent="0.25">
      <c r="B925" s="30"/>
      <c r="C925" s="30"/>
      <c r="D925" s="30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</row>
    <row r="926" spans="2:16" x14ac:dyDescent="0.25">
      <c r="B926" s="30"/>
      <c r="C926" s="30"/>
      <c r="D926" s="30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</row>
    <row r="927" spans="2:16" x14ac:dyDescent="0.25">
      <c r="B927" s="30"/>
      <c r="C927" s="30"/>
      <c r="D927" s="30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</row>
    <row r="928" spans="2:16" x14ac:dyDescent="0.25">
      <c r="B928" s="30"/>
      <c r="C928" s="30"/>
      <c r="D928" s="30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</row>
    <row r="929" spans="2:16" x14ac:dyDescent="0.25">
      <c r="B929" s="30"/>
      <c r="C929" s="30"/>
      <c r="D929" s="30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</row>
    <row r="930" spans="2:16" x14ac:dyDescent="0.25">
      <c r="B930" s="30"/>
      <c r="C930" s="30"/>
      <c r="D930" s="30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</row>
    <row r="931" spans="2:16" x14ac:dyDescent="0.25">
      <c r="B931" s="30"/>
      <c r="C931" s="30"/>
      <c r="D931" s="30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</row>
    <row r="932" spans="2:16" x14ac:dyDescent="0.25">
      <c r="B932" s="30"/>
      <c r="C932" s="30"/>
      <c r="D932" s="30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</row>
    <row r="933" spans="2:16" x14ac:dyDescent="0.25">
      <c r="B933" s="30"/>
      <c r="C933" s="30"/>
      <c r="D933" s="30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</row>
    <row r="934" spans="2:16" x14ac:dyDescent="0.25">
      <c r="B934" s="30"/>
      <c r="C934" s="30"/>
      <c r="D934" s="30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</row>
    <row r="935" spans="2:16" x14ac:dyDescent="0.25">
      <c r="B935" s="30"/>
      <c r="C935" s="30"/>
      <c r="D935" s="30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</row>
    <row r="936" spans="2:16" x14ac:dyDescent="0.25">
      <c r="B936" s="30"/>
      <c r="C936" s="30"/>
      <c r="D936" s="30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</row>
    <row r="937" spans="2:16" x14ac:dyDescent="0.25">
      <c r="B937" s="30"/>
      <c r="C937" s="30"/>
      <c r="D937" s="30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</row>
    <row r="938" spans="2:16" x14ac:dyDescent="0.25">
      <c r="B938" s="30"/>
      <c r="C938" s="30"/>
      <c r="D938" s="30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</row>
    <row r="939" spans="2:16" x14ac:dyDescent="0.25">
      <c r="B939" s="30"/>
      <c r="C939" s="30"/>
      <c r="D939" s="30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</row>
    <row r="940" spans="2:16" x14ac:dyDescent="0.25">
      <c r="B940" s="30"/>
      <c r="C940" s="30"/>
      <c r="D940" s="30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</row>
    <row r="941" spans="2:16" x14ac:dyDescent="0.25">
      <c r="B941" s="30"/>
      <c r="C941" s="30"/>
      <c r="D941" s="30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</row>
    <row r="942" spans="2:16" x14ac:dyDescent="0.25">
      <c r="B942" s="30"/>
      <c r="C942" s="30"/>
      <c r="D942" s="30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</row>
    <row r="943" spans="2:16" x14ac:dyDescent="0.25">
      <c r="B943" s="30"/>
      <c r="C943" s="30"/>
      <c r="D943" s="30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</row>
    <row r="944" spans="2:16" x14ac:dyDescent="0.25">
      <c r="B944" s="30"/>
      <c r="C944" s="30"/>
      <c r="D944" s="30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</row>
    <row r="945" spans="2:16" x14ac:dyDescent="0.25">
      <c r="B945" s="30"/>
      <c r="C945" s="30"/>
      <c r="D945" s="30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</row>
    <row r="946" spans="2:16" x14ac:dyDescent="0.25">
      <c r="B946" s="30"/>
      <c r="C946" s="30"/>
      <c r="D946" s="30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</row>
    <row r="947" spans="2:16" x14ac:dyDescent="0.25">
      <c r="B947" s="30"/>
      <c r="C947" s="30"/>
      <c r="D947" s="30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</row>
    <row r="948" spans="2:16" x14ac:dyDescent="0.25">
      <c r="B948" s="30"/>
      <c r="C948" s="30"/>
      <c r="D948" s="30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</row>
    <row r="949" spans="2:16" x14ac:dyDescent="0.25">
      <c r="B949" s="30"/>
      <c r="C949" s="30"/>
      <c r="D949" s="30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</row>
    <row r="950" spans="2:16" x14ac:dyDescent="0.25">
      <c r="B950" s="30"/>
      <c r="C950" s="30"/>
      <c r="D950" s="30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</row>
    <row r="951" spans="2:16" x14ac:dyDescent="0.25">
      <c r="B951" s="30"/>
      <c r="C951" s="30"/>
      <c r="D951" s="30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</row>
    <row r="952" spans="2:16" x14ac:dyDescent="0.25">
      <c r="B952" s="30"/>
      <c r="C952" s="30"/>
      <c r="D952" s="30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</row>
    <row r="953" spans="2:16" x14ac:dyDescent="0.25">
      <c r="B953" s="30"/>
      <c r="C953" s="30"/>
      <c r="D953" s="30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</row>
    <row r="954" spans="2:16" x14ac:dyDescent="0.25">
      <c r="B954" s="30"/>
      <c r="C954" s="30"/>
      <c r="D954" s="30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</row>
    <row r="955" spans="2:16" x14ac:dyDescent="0.25">
      <c r="B955" s="30"/>
      <c r="C955" s="30"/>
      <c r="D955" s="30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</row>
    <row r="956" spans="2:16" x14ac:dyDescent="0.25">
      <c r="B956" s="30"/>
      <c r="C956" s="30"/>
      <c r="D956" s="30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</row>
    <row r="957" spans="2:16" x14ac:dyDescent="0.25">
      <c r="B957" s="30"/>
      <c r="C957" s="30"/>
      <c r="D957" s="30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</row>
    <row r="958" spans="2:16" x14ac:dyDescent="0.25">
      <c r="B958" s="30"/>
      <c r="C958" s="30"/>
      <c r="D958" s="30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</row>
    <row r="959" spans="2:16" x14ac:dyDescent="0.25">
      <c r="B959" s="30"/>
      <c r="C959" s="30"/>
      <c r="D959" s="30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</row>
    <row r="960" spans="2:16" x14ac:dyDescent="0.25">
      <c r="B960" s="30"/>
      <c r="C960" s="30"/>
      <c r="D960" s="30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</row>
    <row r="961" spans="2:16" x14ac:dyDescent="0.25">
      <c r="B961" s="30"/>
      <c r="C961" s="30"/>
      <c r="D961" s="30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</row>
    <row r="962" spans="2:16" x14ac:dyDescent="0.25">
      <c r="B962" s="30"/>
      <c r="C962" s="30"/>
      <c r="D962" s="30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</row>
    <row r="963" spans="2:16" x14ac:dyDescent="0.25">
      <c r="B963" s="30"/>
      <c r="C963" s="30"/>
      <c r="D963" s="30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</row>
    <row r="964" spans="2:16" x14ac:dyDescent="0.25">
      <c r="B964" s="30"/>
      <c r="C964" s="30"/>
      <c r="D964" s="30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</row>
    <row r="965" spans="2:16" x14ac:dyDescent="0.25">
      <c r="B965" s="30"/>
      <c r="C965" s="30"/>
      <c r="D965" s="30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</row>
    <row r="966" spans="2:16" x14ac:dyDescent="0.25">
      <c r="B966" s="30"/>
      <c r="C966" s="30"/>
      <c r="D966" s="30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</row>
    <row r="967" spans="2:16" x14ac:dyDescent="0.25">
      <c r="B967" s="30"/>
      <c r="C967" s="30"/>
      <c r="D967" s="30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</row>
    <row r="968" spans="2:16" x14ac:dyDescent="0.25">
      <c r="B968" s="30"/>
      <c r="C968" s="30"/>
      <c r="D968" s="30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</row>
    <row r="969" spans="2:16" x14ac:dyDescent="0.25">
      <c r="B969" s="30"/>
      <c r="C969" s="30"/>
      <c r="D969" s="30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</row>
    <row r="970" spans="2:16" x14ac:dyDescent="0.25">
      <c r="B970" s="30"/>
      <c r="C970" s="30"/>
      <c r="D970" s="30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</row>
    <row r="971" spans="2:16" x14ac:dyDescent="0.25">
      <c r="B971" s="30"/>
      <c r="C971" s="30"/>
      <c r="D971" s="30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</row>
    <row r="972" spans="2:16" x14ac:dyDescent="0.25">
      <c r="B972" s="30"/>
      <c r="C972" s="30"/>
      <c r="D972" s="30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</row>
    <row r="973" spans="2:16" x14ac:dyDescent="0.25">
      <c r="B973" s="30"/>
      <c r="C973" s="30"/>
      <c r="D973" s="30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</row>
    <row r="974" spans="2:16" x14ac:dyDescent="0.25">
      <c r="B974" s="30"/>
      <c r="C974" s="30"/>
      <c r="D974" s="30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</row>
    <row r="975" spans="2:16" x14ac:dyDescent="0.25">
      <c r="B975" s="30"/>
      <c r="C975" s="30"/>
      <c r="D975" s="30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</row>
    <row r="976" spans="2:16" x14ac:dyDescent="0.25">
      <c r="B976" s="30"/>
      <c r="C976" s="30"/>
      <c r="D976" s="30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</row>
    <row r="977" spans="2:16" x14ac:dyDescent="0.25">
      <c r="B977" s="30"/>
      <c r="C977" s="30"/>
      <c r="D977" s="30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</row>
    <row r="978" spans="2:16" x14ac:dyDescent="0.25">
      <c r="B978" s="30"/>
      <c r="C978" s="30"/>
      <c r="D978" s="30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</row>
    <row r="979" spans="2:16" x14ac:dyDescent="0.25">
      <c r="B979" s="30"/>
      <c r="C979" s="30"/>
      <c r="D979" s="30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</row>
    <row r="980" spans="2:16" x14ac:dyDescent="0.25">
      <c r="B980" s="30"/>
      <c r="C980" s="30"/>
      <c r="D980" s="30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</row>
    <row r="981" spans="2:16" x14ac:dyDescent="0.25">
      <c r="B981" s="30"/>
      <c r="C981" s="30"/>
      <c r="D981" s="30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</row>
    <row r="982" spans="2:16" x14ac:dyDescent="0.25">
      <c r="B982" s="30"/>
      <c r="C982" s="30"/>
      <c r="D982" s="30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</row>
    <row r="983" spans="2:16" x14ac:dyDescent="0.25">
      <c r="B983" s="30"/>
      <c r="C983" s="30"/>
      <c r="D983" s="30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</row>
    <row r="984" spans="2:16" x14ac:dyDescent="0.25">
      <c r="B984" s="30"/>
      <c r="C984" s="30"/>
      <c r="D984" s="30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</row>
    <row r="985" spans="2:16" x14ac:dyDescent="0.25">
      <c r="B985" s="30"/>
      <c r="C985" s="30"/>
      <c r="D985" s="30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</row>
    <row r="986" spans="2:16" x14ac:dyDescent="0.25">
      <c r="B986" s="30"/>
      <c r="C986" s="30"/>
      <c r="D986" s="30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</row>
    <row r="987" spans="2:16" x14ac:dyDescent="0.25">
      <c r="B987" s="30"/>
      <c r="C987" s="30"/>
      <c r="D987" s="30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</row>
    <row r="988" spans="2:16" x14ac:dyDescent="0.25">
      <c r="B988" s="30"/>
      <c r="C988" s="30"/>
      <c r="D988" s="30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</row>
    <row r="989" spans="2:16" x14ac:dyDescent="0.25">
      <c r="B989" s="30"/>
      <c r="C989" s="30"/>
      <c r="D989" s="30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</row>
    <row r="990" spans="2:16" x14ac:dyDescent="0.25">
      <c r="B990" s="30"/>
      <c r="C990" s="30"/>
      <c r="D990" s="30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</row>
    <row r="991" spans="2:16" x14ac:dyDescent="0.25">
      <c r="B991" s="30"/>
      <c r="C991" s="30"/>
      <c r="D991" s="30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</row>
    <row r="992" spans="2:16" x14ac:dyDescent="0.25">
      <c r="B992" s="30"/>
      <c r="C992" s="30"/>
      <c r="D992" s="30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</row>
    <row r="993" spans="2:16" x14ac:dyDescent="0.25">
      <c r="B993" s="30"/>
      <c r="C993" s="30"/>
      <c r="D993" s="30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</row>
    <row r="994" spans="2:16" x14ac:dyDescent="0.25">
      <c r="B994" s="30"/>
      <c r="C994" s="30"/>
      <c r="D994" s="30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</row>
    <row r="995" spans="2:16" x14ac:dyDescent="0.25">
      <c r="B995" s="30"/>
      <c r="C995" s="30"/>
      <c r="D995" s="30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</row>
    <row r="996" spans="2:16" x14ac:dyDescent="0.25">
      <c r="B996" s="30"/>
      <c r="C996" s="30"/>
      <c r="D996" s="30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</row>
    <row r="997" spans="2:16" x14ac:dyDescent="0.25">
      <c r="B997" s="30"/>
      <c r="C997" s="30"/>
      <c r="D997" s="30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</row>
    <row r="998" spans="2:16" x14ac:dyDescent="0.25">
      <c r="B998" s="30"/>
      <c r="C998" s="30"/>
      <c r="D998" s="30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</row>
    <row r="999" spans="2:16" x14ac:dyDescent="0.25">
      <c r="B999" s="30"/>
      <c r="C999" s="30"/>
      <c r="D999" s="30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</row>
    <row r="1000" spans="2:16" x14ac:dyDescent="0.25">
      <c r="B1000" s="30"/>
      <c r="C1000" s="30"/>
      <c r="D1000" s="30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2:16" x14ac:dyDescent="0.25">
      <c r="B1001" s="30"/>
      <c r="C1001" s="30"/>
      <c r="D1001" s="30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  <row r="1002" spans="2:16" x14ac:dyDescent="0.25">
      <c r="B1002" s="30"/>
      <c r="C1002" s="30"/>
      <c r="D1002" s="30"/>
      <c r="E1002" s="66"/>
      <c r="F1002" s="66"/>
      <c r="G1002" s="66"/>
      <c r="H1002" s="66"/>
      <c r="I1002" s="66"/>
      <c r="J1002" s="66"/>
      <c r="K1002" s="66"/>
      <c r="L1002" s="66"/>
      <c r="M1002" s="66"/>
      <c r="N1002" s="66"/>
      <c r="O1002" s="66"/>
      <c r="P1002" s="66"/>
    </row>
    <row r="1003" spans="2:16" x14ac:dyDescent="0.25">
      <c r="B1003" s="30"/>
      <c r="C1003" s="30"/>
      <c r="D1003" s="30"/>
      <c r="E1003" s="66"/>
      <c r="F1003" s="66"/>
      <c r="G1003" s="66"/>
      <c r="H1003" s="66"/>
      <c r="I1003" s="66"/>
      <c r="J1003" s="66"/>
      <c r="K1003" s="66"/>
      <c r="L1003" s="66"/>
      <c r="M1003" s="66"/>
      <c r="N1003" s="66"/>
      <c r="O1003" s="66"/>
      <c r="P1003" s="66"/>
    </row>
    <row r="1004" spans="2:16" x14ac:dyDescent="0.25">
      <c r="B1004" s="30"/>
      <c r="C1004" s="30"/>
      <c r="D1004" s="30"/>
      <c r="E1004" s="66"/>
      <c r="F1004" s="66"/>
      <c r="G1004" s="66"/>
      <c r="H1004" s="66"/>
      <c r="I1004" s="66"/>
      <c r="J1004" s="66"/>
      <c r="K1004" s="66"/>
      <c r="L1004" s="66"/>
      <c r="M1004" s="66"/>
      <c r="N1004" s="66"/>
      <c r="O1004" s="66"/>
      <c r="P1004" s="66"/>
    </row>
    <row r="1005" spans="2:16" x14ac:dyDescent="0.25">
      <c r="B1005" s="30"/>
      <c r="C1005" s="30"/>
      <c r="D1005" s="30"/>
      <c r="E1005" s="66"/>
      <c r="F1005" s="66"/>
      <c r="G1005" s="66"/>
      <c r="H1005" s="66"/>
      <c r="I1005" s="66"/>
      <c r="J1005" s="66"/>
      <c r="K1005" s="66"/>
      <c r="L1005" s="66"/>
      <c r="M1005" s="66"/>
      <c r="N1005" s="66"/>
      <c r="O1005" s="66"/>
      <c r="P1005" s="66"/>
    </row>
    <row r="1006" spans="2:16" x14ac:dyDescent="0.25">
      <c r="B1006" s="30"/>
      <c r="C1006" s="30"/>
      <c r="D1006" s="30"/>
      <c r="E1006" s="66"/>
      <c r="F1006" s="66"/>
      <c r="G1006" s="66"/>
      <c r="H1006" s="66"/>
      <c r="I1006" s="66"/>
      <c r="J1006" s="66"/>
      <c r="K1006" s="66"/>
      <c r="L1006" s="66"/>
      <c r="M1006" s="66"/>
      <c r="N1006" s="66"/>
      <c r="O1006" s="66"/>
      <c r="P1006" s="66"/>
    </row>
    <row r="1007" spans="2:16" x14ac:dyDescent="0.25">
      <c r="B1007" s="30"/>
      <c r="C1007" s="30"/>
      <c r="D1007" s="30"/>
      <c r="E1007" s="66"/>
      <c r="F1007" s="66"/>
      <c r="G1007" s="66"/>
      <c r="H1007" s="66"/>
      <c r="I1007" s="66"/>
      <c r="J1007" s="66"/>
      <c r="K1007" s="66"/>
      <c r="L1007" s="66"/>
      <c r="M1007" s="66"/>
      <c r="N1007" s="66"/>
      <c r="O1007" s="66"/>
      <c r="P1007" s="66"/>
    </row>
    <row r="1008" spans="2:16" x14ac:dyDescent="0.25">
      <c r="B1008" s="30"/>
      <c r="C1008" s="30"/>
      <c r="D1008" s="30"/>
      <c r="E1008" s="66"/>
      <c r="F1008" s="66"/>
      <c r="G1008" s="66"/>
      <c r="H1008" s="66"/>
      <c r="I1008" s="66"/>
      <c r="J1008" s="66"/>
      <c r="K1008" s="66"/>
      <c r="L1008" s="66"/>
      <c r="M1008" s="66"/>
      <c r="N1008" s="66"/>
      <c r="O1008" s="66"/>
      <c r="P1008" s="66"/>
    </row>
    <row r="1009" spans="2:16" x14ac:dyDescent="0.25">
      <c r="B1009" s="30"/>
      <c r="C1009" s="30"/>
      <c r="D1009" s="30"/>
      <c r="E1009" s="66"/>
      <c r="F1009" s="66"/>
      <c r="G1009" s="66"/>
      <c r="H1009" s="66"/>
      <c r="I1009" s="66"/>
      <c r="J1009" s="66"/>
      <c r="K1009" s="66"/>
      <c r="L1009" s="66"/>
      <c r="M1009" s="66"/>
      <c r="N1009" s="66"/>
      <c r="O1009" s="66"/>
      <c r="P1009" s="66"/>
    </row>
    <row r="1010" spans="2:16" x14ac:dyDescent="0.25">
      <c r="B1010" s="30"/>
      <c r="C1010" s="30"/>
      <c r="D1010" s="30"/>
      <c r="E1010" s="66"/>
      <c r="F1010" s="66"/>
      <c r="G1010" s="66"/>
      <c r="H1010" s="66"/>
      <c r="I1010" s="66"/>
      <c r="J1010" s="66"/>
      <c r="K1010" s="66"/>
      <c r="L1010" s="66"/>
      <c r="M1010" s="66"/>
      <c r="N1010" s="66"/>
      <c r="O1010" s="66"/>
      <c r="P1010" s="66"/>
    </row>
    <row r="1011" spans="2:16" x14ac:dyDescent="0.25">
      <c r="B1011" s="30"/>
      <c r="C1011" s="30"/>
      <c r="D1011" s="30"/>
      <c r="E1011" s="66"/>
      <c r="F1011" s="66"/>
      <c r="G1011" s="66"/>
      <c r="H1011" s="66"/>
      <c r="I1011" s="66"/>
      <c r="J1011" s="66"/>
      <c r="K1011" s="66"/>
      <c r="L1011" s="66"/>
      <c r="M1011" s="66"/>
      <c r="N1011" s="66"/>
      <c r="O1011" s="66"/>
      <c r="P1011" s="66"/>
    </row>
    <row r="1012" spans="2:16" x14ac:dyDescent="0.25">
      <c r="B1012" s="30"/>
      <c r="C1012" s="30"/>
      <c r="D1012" s="30"/>
      <c r="E1012" s="66"/>
      <c r="F1012" s="66"/>
      <c r="G1012" s="66"/>
      <c r="H1012" s="66"/>
      <c r="I1012" s="66"/>
      <c r="J1012" s="66"/>
      <c r="K1012" s="66"/>
      <c r="L1012" s="66"/>
      <c r="M1012" s="66"/>
      <c r="N1012" s="66"/>
      <c r="O1012" s="66"/>
      <c r="P1012" s="66"/>
    </row>
    <row r="1013" spans="2:16" x14ac:dyDescent="0.25">
      <c r="B1013" s="30"/>
      <c r="C1013" s="30"/>
      <c r="D1013" s="30"/>
      <c r="E1013" s="66"/>
      <c r="F1013" s="66"/>
      <c r="G1013" s="66"/>
      <c r="H1013" s="66"/>
      <c r="I1013" s="66"/>
      <c r="J1013" s="66"/>
      <c r="K1013" s="66"/>
      <c r="L1013" s="66"/>
      <c r="M1013" s="66"/>
      <c r="N1013" s="66"/>
      <c r="O1013" s="66"/>
      <c r="P1013" s="66"/>
    </row>
    <row r="1014" spans="2:16" x14ac:dyDescent="0.25">
      <c r="B1014" s="30"/>
      <c r="C1014" s="30"/>
      <c r="D1014" s="30"/>
      <c r="E1014" s="66"/>
      <c r="F1014" s="66"/>
      <c r="G1014" s="66"/>
      <c r="H1014" s="66"/>
      <c r="I1014" s="66"/>
      <c r="J1014" s="66"/>
      <c r="K1014" s="66"/>
      <c r="L1014" s="66"/>
      <c r="M1014" s="66"/>
      <c r="N1014" s="66"/>
      <c r="O1014" s="66"/>
      <c r="P1014" s="66"/>
    </row>
    <row r="1015" spans="2:16" x14ac:dyDescent="0.25">
      <c r="B1015" s="30"/>
      <c r="C1015" s="30"/>
      <c r="D1015" s="30"/>
      <c r="E1015" s="66"/>
      <c r="F1015" s="66"/>
      <c r="G1015" s="66"/>
      <c r="H1015" s="66"/>
      <c r="I1015" s="66"/>
      <c r="J1015" s="66"/>
      <c r="K1015" s="66"/>
      <c r="L1015" s="66"/>
      <c r="M1015" s="66"/>
      <c r="N1015" s="66"/>
      <c r="O1015" s="66"/>
      <c r="P1015" s="66"/>
    </row>
    <row r="1016" spans="2:16" x14ac:dyDescent="0.25">
      <c r="B1016" s="30"/>
      <c r="C1016" s="30"/>
      <c r="D1016" s="30"/>
      <c r="E1016" s="66"/>
      <c r="F1016" s="66"/>
      <c r="G1016" s="66"/>
      <c r="H1016" s="66"/>
      <c r="I1016" s="66"/>
      <c r="J1016" s="66"/>
      <c r="K1016" s="66"/>
      <c r="L1016" s="66"/>
      <c r="M1016" s="66"/>
      <c r="N1016" s="66"/>
      <c r="O1016" s="66"/>
      <c r="P1016" s="66"/>
    </row>
    <row r="1017" spans="2:16" x14ac:dyDescent="0.25">
      <c r="B1017" s="30"/>
      <c r="C1017" s="30"/>
      <c r="D1017" s="30"/>
      <c r="E1017" s="66"/>
      <c r="F1017" s="66"/>
      <c r="G1017" s="66"/>
      <c r="H1017" s="66"/>
      <c r="I1017" s="66"/>
      <c r="J1017" s="66"/>
      <c r="K1017" s="66"/>
      <c r="L1017" s="66"/>
      <c r="M1017" s="66"/>
      <c r="N1017" s="66"/>
      <c r="O1017" s="66"/>
      <c r="P1017" s="66"/>
    </row>
    <row r="1018" spans="2:16" x14ac:dyDescent="0.25">
      <c r="B1018" s="30"/>
      <c r="C1018" s="30"/>
      <c r="D1018" s="30"/>
      <c r="E1018" s="66"/>
      <c r="F1018" s="66"/>
      <c r="G1018" s="66"/>
      <c r="H1018" s="66"/>
      <c r="I1018" s="66"/>
      <c r="J1018" s="66"/>
      <c r="K1018" s="66"/>
      <c r="L1018" s="66"/>
      <c r="M1018" s="66"/>
      <c r="N1018" s="66"/>
      <c r="O1018" s="66"/>
      <c r="P1018" s="66"/>
    </row>
    <row r="1019" spans="2:16" x14ac:dyDescent="0.25">
      <c r="B1019" s="30"/>
      <c r="C1019" s="30"/>
      <c r="D1019" s="30"/>
      <c r="E1019" s="66"/>
      <c r="F1019" s="66"/>
      <c r="G1019" s="66"/>
      <c r="H1019" s="66"/>
      <c r="I1019" s="66"/>
      <c r="J1019" s="66"/>
      <c r="K1019" s="66"/>
      <c r="L1019" s="66"/>
      <c r="M1019" s="66"/>
      <c r="N1019" s="66"/>
      <c r="O1019" s="66"/>
      <c r="P1019" s="66"/>
    </row>
    <row r="1020" spans="2:16" x14ac:dyDescent="0.25">
      <c r="B1020" s="30"/>
      <c r="C1020" s="30"/>
      <c r="D1020" s="30"/>
      <c r="E1020" s="66"/>
      <c r="F1020" s="66"/>
      <c r="G1020" s="66"/>
      <c r="H1020" s="66"/>
      <c r="I1020" s="66"/>
      <c r="J1020" s="66"/>
      <c r="K1020" s="66"/>
      <c r="L1020" s="66"/>
      <c r="M1020" s="66"/>
      <c r="N1020" s="66"/>
      <c r="O1020" s="66"/>
      <c r="P1020" s="66"/>
    </row>
    <row r="1021" spans="2:16" x14ac:dyDescent="0.25">
      <c r="B1021" s="30"/>
      <c r="C1021" s="30"/>
      <c r="D1021" s="30"/>
      <c r="E1021" s="66"/>
      <c r="F1021" s="66"/>
      <c r="G1021" s="66"/>
      <c r="H1021" s="66"/>
      <c r="I1021" s="66"/>
      <c r="J1021" s="66"/>
      <c r="K1021" s="66"/>
      <c r="L1021" s="66"/>
      <c r="M1021" s="66"/>
      <c r="N1021" s="66"/>
      <c r="O1021" s="66"/>
      <c r="P1021" s="66"/>
    </row>
    <row r="1022" spans="2:16" x14ac:dyDescent="0.25">
      <c r="B1022" s="30"/>
      <c r="C1022" s="30"/>
      <c r="D1022" s="30"/>
      <c r="E1022" s="66"/>
      <c r="F1022" s="66"/>
      <c r="G1022" s="66"/>
      <c r="H1022" s="66"/>
      <c r="I1022" s="66"/>
      <c r="J1022" s="66"/>
      <c r="K1022" s="66"/>
      <c r="L1022" s="66"/>
      <c r="M1022" s="66"/>
      <c r="N1022" s="66"/>
      <c r="O1022" s="66"/>
      <c r="P1022" s="66"/>
    </row>
    <row r="1023" spans="2:16" x14ac:dyDescent="0.25">
      <c r="B1023" s="30"/>
      <c r="C1023" s="30"/>
      <c r="D1023" s="30"/>
      <c r="E1023" s="66"/>
      <c r="F1023" s="66"/>
      <c r="G1023" s="66"/>
      <c r="H1023" s="66"/>
      <c r="I1023" s="66"/>
      <c r="J1023" s="66"/>
      <c r="K1023" s="66"/>
      <c r="L1023" s="66"/>
      <c r="M1023" s="66"/>
      <c r="N1023" s="66"/>
      <c r="O1023" s="66"/>
      <c r="P1023" s="66"/>
    </row>
    <row r="1024" spans="2:16" x14ac:dyDescent="0.25">
      <c r="B1024" s="30"/>
      <c r="C1024" s="30"/>
      <c r="D1024" s="30"/>
      <c r="E1024" s="66"/>
      <c r="F1024" s="66"/>
      <c r="G1024" s="66"/>
      <c r="H1024" s="66"/>
      <c r="I1024" s="66"/>
      <c r="J1024" s="66"/>
      <c r="K1024" s="66"/>
      <c r="L1024" s="66"/>
      <c r="M1024" s="66"/>
      <c r="N1024" s="66"/>
      <c r="O1024" s="66"/>
      <c r="P1024" s="66"/>
    </row>
    <row r="1025" spans="2:16" x14ac:dyDescent="0.25">
      <c r="B1025" s="30"/>
      <c r="C1025" s="30"/>
      <c r="D1025" s="30"/>
      <c r="E1025" s="66"/>
      <c r="F1025" s="66"/>
      <c r="G1025" s="66"/>
      <c r="H1025" s="66"/>
      <c r="I1025" s="66"/>
      <c r="J1025" s="66"/>
      <c r="K1025" s="66"/>
      <c r="L1025" s="66"/>
      <c r="M1025" s="66"/>
      <c r="N1025" s="66"/>
      <c r="O1025" s="66"/>
      <c r="P1025" s="66"/>
    </row>
    <row r="1026" spans="2:16" x14ac:dyDescent="0.25">
      <c r="B1026" s="30"/>
      <c r="C1026" s="30"/>
      <c r="D1026" s="30"/>
      <c r="E1026" s="66"/>
      <c r="F1026" s="66"/>
      <c r="G1026" s="66"/>
      <c r="H1026" s="66"/>
      <c r="I1026" s="66"/>
      <c r="J1026" s="66"/>
      <c r="K1026" s="66"/>
      <c r="L1026" s="66"/>
      <c r="M1026" s="66"/>
      <c r="N1026" s="66"/>
      <c r="O1026" s="66"/>
      <c r="P1026" s="66"/>
    </row>
    <row r="1027" spans="2:16" x14ac:dyDescent="0.25">
      <c r="B1027" s="30"/>
      <c r="C1027" s="30"/>
      <c r="D1027" s="30"/>
      <c r="E1027" s="66"/>
      <c r="F1027" s="66"/>
      <c r="G1027" s="66"/>
      <c r="H1027" s="66"/>
      <c r="I1027" s="66"/>
      <c r="J1027" s="66"/>
      <c r="K1027" s="66"/>
      <c r="L1027" s="66"/>
      <c r="M1027" s="66"/>
      <c r="N1027" s="66"/>
      <c r="O1027" s="66"/>
      <c r="P1027" s="66"/>
    </row>
    <row r="1028" spans="2:16" x14ac:dyDescent="0.25">
      <c r="B1028" s="30"/>
      <c r="C1028" s="30"/>
      <c r="D1028" s="30"/>
      <c r="E1028" s="66"/>
      <c r="F1028" s="66"/>
      <c r="G1028" s="66"/>
      <c r="H1028" s="66"/>
      <c r="I1028" s="66"/>
      <c r="J1028" s="66"/>
      <c r="K1028" s="66"/>
      <c r="L1028" s="66"/>
      <c r="M1028" s="66"/>
      <c r="N1028" s="66"/>
      <c r="O1028" s="66"/>
      <c r="P1028" s="66"/>
    </row>
    <row r="1029" spans="2:16" x14ac:dyDescent="0.25">
      <c r="B1029" s="30"/>
      <c r="C1029" s="30"/>
      <c r="D1029" s="30"/>
      <c r="E1029" s="66"/>
      <c r="F1029" s="66"/>
      <c r="G1029" s="66"/>
      <c r="H1029" s="66"/>
      <c r="I1029" s="66"/>
      <c r="J1029" s="66"/>
      <c r="K1029" s="66"/>
      <c r="L1029" s="66"/>
      <c r="M1029" s="66"/>
      <c r="N1029" s="66"/>
      <c r="O1029" s="66"/>
      <c r="P1029" s="66"/>
    </row>
    <row r="1030" spans="2:16" x14ac:dyDescent="0.25">
      <c r="B1030" s="30"/>
      <c r="C1030" s="30"/>
      <c r="D1030" s="30"/>
      <c r="E1030" s="66"/>
      <c r="F1030" s="66"/>
      <c r="G1030" s="66"/>
      <c r="H1030" s="66"/>
      <c r="I1030" s="66"/>
      <c r="J1030" s="66"/>
      <c r="K1030" s="66"/>
      <c r="L1030" s="66"/>
      <c r="M1030" s="66"/>
      <c r="N1030" s="66"/>
      <c r="O1030" s="66"/>
      <c r="P1030" s="66"/>
    </row>
    <row r="1031" spans="2:16" x14ac:dyDescent="0.25">
      <c r="B1031" s="30"/>
      <c r="C1031" s="30"/>
      <c r="D1031" s="30"/>
      <c r="E1031" s="66"/>
      <c r="F1031" s="66"/>
      <c r="G1031" s="66"/>
      <c r="H1031" s="66"/>
      <c r="I1031" s="66"/>
      <c r="J1031" s="66"/>
      <c r="K1031" s="66"/>
      <c r="L1031" s="66"/>
      <c r="M1031" s="66"/>
      <c r="N1031" s="66"/>
      <c r="O1031" s="66"/>
      <c r="P1031" s="66"/>
    </row>
    <row r="1032" spans="2:16" x14ac:dyDescent="0.25">
      <c r="B1032" s="30"/>
      <c r="C1032" s="30"/>
      <c r="D1032" s="30"/>
      <c r="E1032" s="66"/>
      <c r="F1032" s="66"/>
      <c r="G1032" s="66"/>
      <c r="H1032" s="66"/>
      <c r="I1032" s="66"/>
      <c r="J1032" s="66"/>
      <c r="K1032" s="66"/>
      <c r="L1032" s="66"/>
      <c r="M1032" s="66"/>
      <c r="N1032" s="66"/>
      <c r="O1032" s="66"/>
      <c r="P1032" s="66"/>
    </row>
    <row r="1033" spans="2:16" x14ac:dyDescent="0.25">
      <c r="B1033" s="30"/>
      <c r="C1033" s="30"/>
      <c r="D1033" s="30"/>
      <c r="E1033" s="66"/>
      <c r="F1033" s="66"/>
      <c r="G1033" s="66"/>
      <c r="H1033" s="66"/>
      <c r="I1033" s="66"/>
      <c r="J1033" s="66"/>
      <c r="K1033" s="66"/>
      <c r="L1033" s="66"/>
      <c r="M1033" s="66"/>
      <c r="N1033" s="66"/>
      <c r="O1033" s="66"/>
      <c r="P1033" s="66"/>
    </row>
    <row r="1034" spans="2:16" x14ac:dyDescent="0.25">
      <c r="B1034" s="30"/>
      <c r="C1034" s="30"/>
      <c r="D1034" s="30"/>
      <c r="E1034" s="66"/>
      <c r="F1034" s="66"/>
      <c r="G1034" s="66"/>
      <c r="H1034" s="66"/>
      <c r="I1034" s="66"/>
      <c r="J1034" s="66"/>
      <c r="K1034" s="66"/>
      <c r="L1034" s="66"/>
      <c r="M1034" s="66"/>
      <c r="N1034" s="66"/>
      <c r="O1034" s="66"/>
      <c r="P1034" s="66"/>
    </row>
    <row r="1035" spans="2:16" x14ac:dyDescent="0.25">
      <c r="B1035" s="30"/>
      <c r="C1035" s="30"/>
      <c r="D1035" s="30"/>
      <c r="E1035" s="66"/>
      <c r="F1035" s="66"/>
      <c r="G1035" s="66"/>
      <c r="H1035" s="66"/>
      <c r="I1035" s="66"/>
      <c r="J1035" s="66"/>
      <c r="K1035" s="66"/>
      <c r="L1035" s="66"/>
      <c r="M1035" s="66"/>
      <c r="N1035" s="66"/>
      <c r="O1035" s="66"/>
      <c r="P1035" s="66"/>
    </row>
    <row r="1036" spans="2:16" x14ac:dyDescent="0.25">
      <c r="B1036" s="30"/>
      <c r="C1036" s="30"/>
      <c r="D1036" s="30"/>
      <c r="E1036" s="66"/>
      <c r="F1036" s="66"/>
      <c r="G1036" s="66"/>
      <c r="H1036" s="66"/>
      <c r="I1036" s="66"/>
      <c r="J1036" s="66"/>
      <c r="K1036" s="66"/>
      <c r="L1036" s="66"/>
      <c r="M1036" s="66"/>
      <c r="N1036" s="66"/>
      <c r="O1036" s="66"/>
      <c r="P1036" s="66"/>
    </row>
    <row r="1037" spans="2:16" x14ac:dyDescent="0.25">
      <c r="B1037" s="30"/>
      <c r="C1037" s="30"/>
      <c r="D1037" s="30"/>
      <c r="E1037" s="66"/>
      <c r="F1037" s="66"/>
      <c r="G1037" s="66"/>
      <c r="H1037" s="66"/>
      <c r="I1037" s="66"/>
      <c r="J1037" s="66"/>
      <c r="K1037" s="66"/>
      <c r="L1037" s="66"/>
      <c r="M1037" s="66"/>
      <c r="N1037" s="66"/>
      <c r="O1037" s="66"/>
      <c r="P1037" s="66"/>
    </row>
    <row r="1038" spans="2:16" x14ac:dyDescent="0.25">
      <c r="B1038" s="30"/>
      <c r="C1038" s="30"/>
      <c r="D1038" s="30"/>
      <c r="E1038" s="66"/>
      <c r="F1038" s="66"/>
      <c r="G1038" s="66"/>
      <c r="H1038" s="66"/>
      <c r="I1038" s="66"/>
      <c r="J1038" s="66"/>
      <c r="K1038" s="66"/>
      <c r="L1038" s="66"/>
      <c r="M1038" s="66"/>
      <c r="N1038" s="66"/>
      <c r="O1038" s="66"/>
      <c r="P1038" s="66"/>
    </row>
    <row r="1039" spans="2:16" x14ac:dyDescent="0.25">
      <c r="B1039" s="30"/>
      <c r="C1039" s="30"/>
      <c r="D1039" s="30"/>
      <c r="E1039" s="66"/>
      <c r="F1039" s="66"/>
      <c r="G1039" s="66"/>
      <c r="H1039" s="66"/>
      <c r="I1039" s="66"/>
      <c r="J1039" s="66"/>
      <c r="K1039" s="66"/>
      <c r="L1039" s="66"/>
      <c r="M1039" s="66"/>
      <c r="N1039" s="66"/>
      <c r="O1039" s="66"/>
      <c r="P1039" s="66"/>
    </row>
    <row r="1040" spans="2:16" x14ac:dyDescent="0.25">
      <c r="B1040" s="30"/>
      <c r="C1040" s="30"/>
      <c r="D1040" s="30"/>
      <c r="E1040" s="66"/>
      <c r="F1040" s="66"/>
      <c r="G1040" s="66"/>
      <c r="H1040" s="66"/>
      <c r="I1040" s="66"/>
      <c r="J1040" s="66"/>
      <c r="K1040" s="66"/>
      <c r="L1040" s="66"/>
      <c r="M1040" s="66"/>
      <c r="N1040" s="66"/>
      <c r="O1040" s="66"/>
      <c r="P1040" s="66"/>
    </row>
    <row r="1041" spans="2:16" x14ac:dyDescent="0.25">
      <c r="B1041" s="30"/>
      <c r="C1041" s="30"/>
      <c r="D1041" s="30"/>
      <c r="E1041" s="66"/>
      <c r="F1041" s="66"/>
      <c r="G1041" s="66"/>
      <c r="H1041" s="66"/>
      <c r="I1041" s="66"/>
      <c r="J1041" s="66"/>
      <c r="K1041" s="66"/>
      <c r="L1041" s="66"/>
      <c r="M1041" s="66"/>
      <c r="N1041" s="66"/>
      <c r="O1041" s="66"/>
      <c r="P1041" s="66"/>
    </row>
    <row r="1042" spans="2:16" x14ac:dyDescent="0.25">
      <c r="B1042" s="30"/>
      <c r="C1042" s="30"/>
      <c r="D1042" s="30"/>
      <c r="E1042" s="66"/>
      <c r="F1042" s="66"/>
      <c r="G1042" s="66"/>
      <c r="H1042" s="66"/>
      <c r="I1042" s="66"/>
      <c r="J1042" s="66"/>
      <c r="K1042" s="66"/>
      <c r="L1042" s="66"/>
      <c r="M1042" s="66"/>
      <c r="N1042" s="66"/>
      <c r="O1042" s="66"/>
      <c r="P1042" s="66"/>
    </row>
    <row r="1043" spans="2:16" x14ac:dyDescent="0.25">
      <c r="B1043" s="30"/>
      <c r="C1043" s="30"/>
      <c r="D1043" s="30"/>
      <c r="E1043" s="66"/>
      <c r="F1043" s="66"/>
      <c r="G1043" s="66"/>
      <c r="H1043" s="66"/>
      <c r="I1043" s="66"/>
      <c r="J1043" s="66"/>
      <c r="K1043" s="66"/>
      <c r="L1043" s="66"/>
      <c r="M1043" s="66"/>
      <c r="N1043" s="66"/>
      <c r="O1043" s="66"/>
      <c r="P1043" s="66"/>
    </row>
    <row r="1044" spans="2:16" x14ac:dyDescent="0.25">
      <c r="B1044" s="30"/>
      <c r="C1044" s="30"/>
      <c r="D1044" s="30"/>
      <c r="E1044" s="66"/>
      <c r="F1044" s="66"/>
      <c r="G1044" s="66"/>
      <c r="H1044" s="66"/>
      <c r="I1044" s="66"/>
      <c r="J1044" s="66"/>
      <c r="K1044" s="66"/>
      <c r="L1044" s="66"/>
      <c r="M1044" s="66"/>
      <c r="N1044" s="66"/>
      <c r="O1044" s="66"/>
      <c r="P1044" s="66"/>
    </row>
    <row r="1045" spans="2:16" x14ac:dyDescent="0.25">
      <c r="B1045" s="30"/>
      <c r="C1045" s="30"/>
      <c r="D1045" s="30"/>
      <c r="E1045" s="66"/>
      <c r="F1045" s="66"/>
      <c r="G1045" s="66"/>
      <c r="H1045" s="66"/>
      <c r="I1045" s="66"/>
      <c r="J1045" s="66"/>
      <c r="K1045" s="66"/>
      <c r="L1045" s="66"/>
      <c r="M1045" s="66"/>
      <c r="N1045" s="66"/>
      <c r="O1045" s="66"/>
      <c r="P1045" s="66"/>
    </row>
    <row r="1046" spans="2:16" x14ac:dyDescent="0.25">
      <c r="B1046" s="30"/>
      <c r="C1046" s="30"/>
      <c r="D1046" s="30"/>
      <c r="E1046" s="66"/>
      <c r="F1046" s="66"/>
      <c r="G1046" s="66"/>
      <c r="H1046" s="66"/>
      <c r="I1046" s="66"/>
      <c r="J1046" s="66"/>
      <c r="K1046" s="66"/>
      <c r="L1046" s="66"/>
      <c r="M1046" s="66"/>
      <c r="N1046" s="66"/>
      <c r="O1046" s="66"/>
      <c r="P1046" s="66"/>
    </row>
    <row r="1047" spans="2:16" x14ac:dyDescent="0.25">
      <c r="B1047" s="30"/>
      <c r="C1047" s="30"/>
      <c r="D1047" s="30"/>
      <c r="E1047" s="66"/>
      <c r="F1047" s="66"/>
      <c r="G1047" s="66"/>
      <c r="H1047" s="66"/>
      <c r="I1047" s="66"/>
      <c r="J1047" s="66"/>
      <c r="K1047" s="66"/>
      <c r="L1047" s="66"/>
      <c r="M1047" s="66"/>
      <c r="N1047" s="66"/>
      <c r="O1047" s="66"/>
      <c r="P1047" s="66"/>
    </row>
    <row r="1048" spans="2:16" x14ac:dyDescent="0.25">
      <c r="B1048" s="30"/>
      <c r="C1048" s="30"/>
      <c r="D1048" s="30"/>
      <c r="E1048" s="66"/>
      <c r="F1048" s="66"/>
      <c r="G1048" s="66"/>
      <c r="H1048" s="66"/>
      <c r="I1048" s="66"/>
      <c r="J1048" s="66"/>
      <c r="K1048" s="66"/>
      <c r="L1048" s="66"/>
      <c r="M1048" s="66"/>
      <c r="N1048" s="66"/>
      <c r="O1048" s="66"/>
      <c r="P1048" s="66"/>
    </row>
    <row r="1049" spans="2:16" x14ac:dyDescent="0.25">
      <c r="B1049" s="30"/>
      <c r="C1049" s="30"/>
      <c r="D1049" s="30"/>
      <c r="E1049" s="66"/>
      <c r="F1049" s="66"/>
      <c r="G1049" s="66"/>
      <c r="H1049" s="66"/>
      <c r="I1049" s="66"/>
      <c r="J1049" s="66"/>
      <c r="K1049" s="66"/>
      <c r="L1049" s="66"/>
      <c r="M1049" s="66"/>
      <c r="N1049" s="66"/>
      <c r="O1049" s="66"/>
      <c r="P1049" s="66"/>
    </row>
    <row r="1050" spans="2:16" x14ac:dyDescent="0.25">
      <c r="B1050" s="30"/>
      <c r="C1050" s="30"/>
      <c r="D1050" s="30"/>
      <c r="E1050" s="66"/>
      <c r="F1050" s="66"/>
      <c r="G1050" s="66"/>
      <c r="H1050" s="66"/>
      <c r="I1050" s="66"/>
      <c r="J1050" s="66"/>
      <c r="K1050" s="66"/>
      <c r="L1050" s="66"/>
      <c r="M1050" s="66"/>
      <c r="N1050" s="66"/>
      <c r="O1050" s="66"/>
      <c r="P1050" s="66"/>
    </row>
    <row r="1051" spans="2:16" x14ac:dyDescent="0.25">
      <c r="B1051" s="30"/>
      <c r="C1051" s="30"/>
      <c r="D1051" s="30"/>
      <c r="E1051" s="66"/>
      <c r="F1051" s="66"/>
      <c r="G1051" s="66"/>
      <c r="H1051" s="66"/>
      <c r="I1051" s="66"/>
      <c r="J1051" s="66"/>
      <c r="K1051" s="66"/>
      <c r="L1051" s="66"/>
      <c r="M1051" s="66"/>
      <c r="N1051" s="66"/>
      <c r="O1051" s="66"/>
      <c r="P1051" s="66"/>
    </row>
    <row r="1052" spans="2:16" x14ac:dyDescent="0.25">
      <c r="B1052" s="30"/>
      <c r="C1052" s="30"/>
      <c r="D1052" s="30"/>
      <c r="E1052" s="66"/>
      <c r="F1052" s="66"/>
      <c r="G1052" s="66"/>
      <c r="H1052" s="66"/>
      <c r="I1052" s="66"/>
      <c r="J1052" s="66"/>
      <c r="K1052" s="66"/>
      <c r="L1052" s="66"/>
      <c r="M1052" s="66"/>
      <c r="N1052" s="66"/>
      <c r="O1052" s="66"/>
      <c r="P1052" s="66"/>
    </row>
    <row r="1053" spans="2:16" x14ac:dyDescent="0.25">
      <c r="B1053" s="30"/>
      <c r="C1053" s="30"/>
      <c r="D1053" s="30"/>
      <c r="E1053" s="66"/>
      <c r="F1053" s="66"/>
      <c r="G1053" s="66"/>
      <c r="H1053" s="66"/>
      <c r="I1053" s="66"/>
      <c r="J1053" s="66"/>
      <c r="K1053" s="66"/>
      <c r="L1053" s="66"/>
      <c r="M1053" s="66"/>
      <c r="N1053" s="66"/>
      <c r="O1053" s="66"/>
      <c r="P1053" s="66"/>
    </row>
    <row r="1054" spans="2:16" x14ac:dyDescent="0.25">
      <c r="B1054" s="30"/>
      <c r="C1054" s="30"/>
      <c r="D1054" s="30"/>
      <c r="E1054" s="66"/>
      <c r="F1054" s="66"/>
      <c r="G1054" s="66"/>
      <c r="H1054" s="66"/>
      <c r="I1054" s="66"/>
      <c r="J1054" s="66"/>
      <c r="K1054" s="66"/>
      <c r="L1054" s="66"/>
      <c r="M1054" s="66"/>
      <c r="N1054" s="66"/>
      <c r="O1054" s="66"/>
      <c r="P1054" s="66"/>
    </row>
    <row r="1055" spans="2:16" x14ac:dyDescent="0.25">
      <c r="B1055" s="30"/>
      <c r="C1055" s="30"/>
      <c r="D1055" s="30"/>
      <c r="E1055" s="66"/>
      <c r="F1055" s="66"/>
      <c r="G1055" s="66"/>
      <c r="H1055" s="66"/>
      <c r="I1055" s="66"/>
      <c r="J1055" s="66"/>
      <c r="K1055" s="66"/>
      <c r="L1055" s="66"/>
      <c r="M1055" s="66"/>
      <c r="N1055" s="66"/>
      <c r="O1055" s="66"/>
      <c r="P1055" s="66"/>
    </row>
    <row r="1056" spans="2:16" x14ac:dyDescent="0.25">
      <c r="B1056" s="30"/>
      <c r="C1056" s="30"/>
      <c r="D1056" s="30"/>
      <c r="E1056" s="66"/>
      <c r="F1056" s="66"/>
      <c r="G1056" s="66"/>
      <c r="H1056" s="66"/>
      <c r="I1056" s="66"/>
      <c r="J1056" s="66"/>
      <c r="K1056" s="66"/>
      <c r="L1056" s="66"/>
      <c r="M1056" s="66"/>
      <c r="N1056" s="66"/>
      <c r="O1056" s="66"/>
      <c r="P1056" s="66"/>
    </row>
    <row r="1057" spans="2:16" x14ac:dyDescent="0.25">
      <c r="B1057" s="30"/>
      <c r="C1057" s="30"/>
      <c r="D1057" s="30"/>
      <c r="E1057" s="66"/>
      <c r="F1057" s="66"/>
      <c r="G1057" s="66"/>
      <c r="H1057" s="66"/>
      <c r="I1057" s="66"/>
      <c r="J1057" s="66"/>
      <c r="K1057" s="66"/>
      <c r="L1057" s="66"/>
      <c r="M1057" s="66"/>
      <c r="N1057" s="66"/>
      <c r="O1057" s="66"/>
      <c r="P1057" s="66"/>
    </row>
    <row r="1058" spans="2:16" x14ac:dyDescent="0.25">
      <c r="B1058" s="30"/>
      <c r="C1058" s="30"/>
      <c r="D1058" s="30"/>
      <c r="E1058" s="66"/>
      <c r="F1058" s="66"/>
      <c r="G1058" s="66"/>
      <c r="H1058" s="66"/>
      <c r="I1058" s="66"/>
      <c r="J1058" s="66"/>
      <c r="K1058" s="66"/>
      <c r="L1058" s="66"/>
      <c r="M1058" s="66"/>
      <c r="N1058" s="66"/>
      <c r="O1058" s="66"/>
      <c r="P1058" s="66"/>
    </row>
    <row r="1059" spans="2:16" x14ac:dyDescent="0.25">
      <c r="B1059" s="30"/>
      <c r="C1059" s="30"/>
      <c r="D1059" s="30"/>
      <c r="E1059" s="66"/>
      <c r="F1059" s="66"/>
      <c r="G1059" s="66"/>
      <c r="H1059" s="66"/>
      <c r="I1059" s="66"/>
      <c r="J1059" s="66"/>
      <c r="K1059" s="66"/>
      <c r="L1059" s="66"/>
      <c r="M1059" s="66"/>
      <c r="N1059" s="66"/>
      <c r="O1059" s="66"/>
      <c r="P1059" s="66"/>
    </row>
    <row r="1060" spans="2:16" x14ac:dyDescent="0.25">
      <c r="B1060" s="30"/>
      <c r="C1060" s="30"/>
      <c r="D1060" s="30"/>
      <c r="E1060" s="66"/>
      <c r="F1060" s="66"/>
      <c r="G1060" s="66"/>
      <c r="H1060" s="66"/>
      <c r="I1060" s="66"/>
      <c r="J1060" s="66"/>
      <c r="K1060" s="66"/>
      <c r="L1060" s="66"/>
      <c r="M1060" s="66"/>
      <c r="N1060" s="66"/>
      <c r="O1060" s="66"/>
      <c r="P1060" s="66"/>
    </row>
    <row r="1061" spans="2:16" x14ac:dyDescent="0.25">
      <c r="B1061" s="30"/>
      <c r="C1061" s="30"/>
      <c r="D1061" s="30"/>
      <c r="E1061" s="66"/>
      <c r="F1061" s="66"/>
      <c r="G1061" s="66"/>
      <c r="H1061" s="66"/>
      <c r="I1061" s="66"/>
      <c r="J1061" s="66"/>
      <c r="K1061" s="66"/>
      <c r="L1061" s="66"/>
      <c r="M1061" s="66"/>
      <c r="N1061" s="66"/>
      <c r="O1061" s="66"/>
      <c r="P1061" s="66"/>
    </row>
    <row r="1062" spans="2:16" x14ac:dyDescent="0.25">
      <c r="B1062" s="30"/>
      <c r="C1062" s="30"/>
      <c r="D1062" s="30"/>
      <c r="E1062" s="66"/>
      <c r="F1062" s="66"/>
      <c r="G1062" s="66"/>
      <c r="H1062" s="66"/>
      <c r="I1062" s="66"/>
      <c r="J1062" s="66"/>
      <c r="K1062" s="66"/>
      <c r="L1062" s="66"/>
      <c r="M1062" s="66"/>
      <c r="N1062" s="66"/>
      <c r="O1062" s="66"/>
      <c r="P1062" s="66"/>
    </row>
    <row r="1063" spans="2:16" x14ac:dyDescent="0.25">
      <c r="B1063" s="30"/>
      <c r="C1063" s="30"/>
      <c r="D1063" s="30"/>
      <c r="E1063" s="66"/>
      <c r="F1063" s="66"/>
      <c r="G1063" s="66"/>
      <c r="H1063" s="66"/>
      <c r="I1063" s="66"/>
      <c r="J1063" s="66"/>
      <c r="K1063" s="66"/>
      <c r="L1063" s="66"/>
      <c r="M1063" s="66"/>
      <c r="N1063" s="66"/>
      <c r="O1063" s="66"/>
      <c r="P1063" s="66"/>
    </row>
    <row r="1064" spans="2:16" x14ac:dyDescent="0.25">
      <c r="B1064" s="30"/>
      <c r="C1064" s="30"/>
      <c r="D1064" s="30"/>
      <c r="E1064" s="66"/>
      <c r="F1064" s="66"/>
      <c r="G1064" s="66"/>
      <c r="H1064" s="66"/>
      <c r="I1064" s="66"/>
      <c r="J1064" s="66"/>
      <c r="K1064" s="66"/>
      <c r="L1064" s="66"/>
      <c r="M1064" s="66"/>
      <c r="N1064" s="66"/>
      <c r="O1064" s="66"/>
      <c r="P1064" s="66"/>
    </row>
    <row r="1065" spans="2:16" x14ac:dyDescent="0.25">
      <c r="B1065" s="30"/>
      <c r="C1065" s="30"/>
      <c r="D1065" s="30"/>
      <c r="E1065" s="66"/>
      <c r="F1065" s="66"/>
      <c r="G1065" s="66"/>
      <c r="H1065" s="66"/>
      <c r="I1065" s="66"/>
      <c r="J1065" s="66"/>
      <c r="K1065" s="66"/>
      <c r="L1065" s="66"/>
      <c r="M1065" s="66"/>
      <c r="N1065" s="66"/>
      <c r="O1065" s="66"/>
      <c r="P1065" s="66"/>
    </row>
    <row r="1066" spans="2:16" x14ac:dyDescent="0.25">
      <c r="B1066" s="30"/>
      <c r="C1066" s="30"/>
      <c r="D1066" s="30"/>
      <c r="E1066" s="66"/>
      <c r="F1066" s="66"/>
      <c r="G1066" s="66"/>
      <c r="H1066" s="66"/>
      <c r="I1066" s="66"/>
      <c r="J1066" s="66"/>
      <c r="K1066" s="66"/>
      <c r="L1066" s="66"/>
      <c r="M1066" s="66"/>
      <c r="N1066" s="66"/>
      <c r="O1066" s="66"/>
      <c r="P1066" s="66"/>
    </row>
    <row r="1067" spans="2:16" x14ac:dyDescent="0.25">
      <c r="B1067" s="30"/>
      <c r="C1067" s="30"/>
      <c r="D1067" s="30"/>
      <c r="E1067" s="66"/>
      <c r="F1067" s="66"/>
      <c r="G1067" s="66"/>
      <c r="H1067" s="66"/>
      <c r="I1067" s="66"/>
      <c r="J1067" s="66"/>
      <c r="K1067" s="66"/>
      <c r="L1067" s="66"/>
      <c r="M1067" s="66"/>
      <c r="N1067" s="66"/>
      <c r="O1067" s="66"/>
      <c r="P1067" s="66"/>
    </row>
    <row r="1068" spans="2:16" x14ac:dyDescent="0.25">
      <c r="B1068" s="30"/>
      <c r="C1068" s="30"/>
      <c r="D1068" s="30"/>
      <c r="E1068" s="66"/>
      <c r="F1068" s="66"/>
      <c r="G1068" s="66"/>
      <c r="H1068" s="66"/>
      <c r="I1068" s="66"/>
      <c r="J1068" s="66"/>
      <c r="K1068" s="66"/>
      <c r="L1068" s="66"/>
      <c r="M1068" s="66"/>
      <c r="N1068" s="66"/>
      <c r="O1068" s="66"/>
      <c r="P1068" s="66"/>
    </row>
    <row r="1069" spans="2:16" x14ac:dyDescent="0.25">
      <c r="B1069" s="30"/>
      <c r="C1069" s="30"/>
      <c r="D1069" s="30"/>
      <c r="E1069" s="66"/>
      <c r="F1069" s="66"/>
      <c r="G1069" s="66"/>
      <c r="H1069" s="66"/>
      <c r="I1069" s="66"/>
      <c r="J1069" s="66"/>
      <c r="K1069" s="66"/>
      <c r="L1069" s="66"/>
      <c r="M1069" s="66"/>
      <c r="N1069" s="66"/>
      <c r="O1069" s="66"/>
      <c r="P1069" s="66"/>
    </row>
    <row r="1070" spans="2:16" x14ac:dyDescent="0.25">
      <c r="B1070" s="30"/>
      <c r="C1070" s="30"/>
      <c r="D1070" s="30"/>
      <c r="E1070" s="66"/>
      <c r="F1070" s="66"/>
      <c r="G1070" s="66"/>
      <c r="H1070" s="66"/>
      <c r="I1070" s="66"/>
      <c r="J1070" s="66"/>
      <c r="K1070" s="66"/>
      <c r="L1070" s="66"/>
      <c r="M1070" s="66"/>
      <c r="N1070" s="66"/>
      <c r="O1070" s="66"/>
      <c r="P1070" s="66"/>
    </row>
    <row r="1071" spans="2:16" x14ac:dyDescent="0.25">
      <c r="B1071" s="30"/>
      <c r="C1071" s="30"/>
      <c r="D1071" s="30"/>
      <c r="E1071" s="66"/>
      <c r="F1071" s="66"/>
      <c r="G1071" s="66"/>
      <c r="H1071" s="66"/>
      <c r="I1071" s="66"/>
      <c r="J1071" s="66"/>
      <c r="K1071" s="66"/>
      <c r="L1071" s="66"/>
      <c r="M1071" s="66"/>
      <c r="N1071" s="66"/>
      <c r="O1071" s="66"/>
      <c r="P1071" s="66"/>
    </row>
    <row r="1072" spans="2:16" x14ac:dyDescent="0.25">
      <c r="B1072" s="30"/>
      <c r="C1072" s="30"/>
      <c r="D1072" s="30"/>
      <c r="E1072" s="66"/>
      <c r="F1072" s="66"/>
      <c r="G1072" s="66"/>
      <c r="H1072" s="66"/>
      <c r="I1072" s="66"/>
      <c r="J1072" s="66"/>
      <c r="K1072" s="66"/>
      <c r="L1072" s="66"/>
      <c r="M1072" s="66"/>
      <c r="N1072" s="66"/>
      <c r="O1072" s="66"/>
      <c r="P1072" s="66"/>
    </row>
    <row r="1073" spans="2:16" x14ac:dyDescent="0.25">
      <c r="B1073" s="30"/>
      <c r="C1073" s="30"/>
      <c r="D1073" s="30"/>
      <c r="E1073" s="66"/>
      <c r="F1073" s="66"/>
      <c r="G1073" s="66"/>
      <c r="H1073" s="66"/>
      <c r="I1073" s="66"/>
      <c r="J1073" s="66"/>
      <c r="K1073" s="66"/>
      <c r="L1073" s="66"/>
      <c r="M1073" s="66"/>
      <c r="N1073" s="66"/>
      <c r="O1073" s="66"/>
      <c r="P1073" s="66"/>
    </row>
    <row r="1074" spans="2:16" x14ac:dyDescent="0.25">
      <c r="B1074" s="30"/>
      <c r="C1074" s="30"/>
      <c r="D1074" s="30"/>
      <c r="E1074" s="66"/>
      <c r="F1074" s="66"/>
      <c r="G1074" s="66"/>
      <c r="H1074" s="66"/>
      <c r="I1074" s="66"/>
      <c r="J1074" s="66"/>
      <c r="K1074" s="66"/>
      <c r="L1074" s="66"/>
      <c r="M1074" s="66"/>
      <c r="N1074" s="66"/>
      <c r="O1074" s="66"/>
      <c r="P1074" s="66"/>
    </row>
    <row r="1075" spans="2:16" x14ac:dyDescent="0.25">
      <c r="B1075" s="30"/>
      <c r="C1075" s="30"/>
      <c r="D1075" s="30"/>
      <c r="E1075" s="66"/>
      <c r="F1075" s="66"/>
      <c r="G1075" s="66"/>
      <c r="H1075" s="66"/>
      <c r="I1075" s="66"/>
      <c r="J1075" s="66"/>
      <c r="K1075" s="66"/>
      <c r="L1075" s="66"/>
      <c r="M1075" s="66"/>
      <c r="N1075" s="66"/>
      <c r="O1075" s="66"/>
      <c r="P1075" s="66"/>
    </row>
    <row r="1076" spans="2:16" x14ac:dyDescent="0.25">
      <c r="B1076" s="30"/>
      <c r="C1076" s="30"/>
      <c r="D1076" s="30"/>
      <c r="E1076" s="66"/>
      <c r="F1076" s="66"/>
      <c r="G1076" s="66"/>
      <c r="H1076" s="66"/>
      <c r="I1076" s="66"/>
      <c r="J1076" s="66"/>
      <c r="K1076" s="66"/>
      <c r="L1076" s="66"/>
      <c r="M1076" s="66"/>
      <c r="N1076" s="66"/>
      <c r="O1076" s="66"/>
      <c r="P1076" s="66"/>
    </row>
    <row r="1077" spans="2:16" x14ac:dyDescent="0.25">
      <c r="B1077" s="30"/>
      <c r="C1077" s="30"/>
      <c r="D1077" s="30"/>
      <c r="E1077" s="66"/>
      <c r="F1077" s="66"/>
      <c r="G1077" s="66"/>
      <c r="H1077" s="66"/>
      <c r="I1077" s="66"/>
      <c r="J1077" s="66"/>
      <c r="K1077" s="66"/>
      <c r="L1077" s="66"/>
      <c r="M1077" s="66"/>
      <c r="N1077" s="66"/>
      <c r="O1077" s="66"/>
      <c r="P1077" s="66"/>
    </row>
    <row r="1078" spans="2:16" x14ac:dyDescent="0.25">
      <c r="B1078" s="30"/>
      <c r="C1078" s="30"/>
      <c r="D1078" s="30"/>
      <c r="E1078" s="66"/>
      <c r="F1078" s="66"/>
      <c r="G1078" s="66"/>
      <c r="H1078" s="66"/>
      <c r="I1078" s="66"/>
      <c r="J1078" s="66"/>
      <c r="K1078" s="66"/>
      <c r="L1078" s="66"/>
      <c r="M1078" s="66"/>
      <c r="N1078" s="66"/>
      <c r="O1078" s="66"/>
      <c r="P1078" s="66"/>
    </row>
    <row r="1079" spans="2:16" x14ac:dyDescent="0.25">
      <c r="B1079" s="30"/>
      <c r="C1079" s="30"/>
      <c r="D1079" s="30"/>
      <c r="E1079" s="66"/>
      <c r="F1079" s="66"/>
      <c r="G1079" s="66"/>
      <c r="H1079" s="66"/>
      <c r="I1079" s="66"/>
      <c r="J1079" s="66"/>
      <c r="K1079" s="66"/>
      <c r="L1079" s="66"/>
      <c r="M1079" s="66"/>
      <c r="N1079" s="66"/>
      <c r="O1079" s="66"/>
      <c r="P1079" s="66"/>
    </row>
    <row r="1080" spans="2:16" x14ac:dyDescent="0.25">
      <c r="B1080" s="30"/>
      <c r="C1080" s="30"/>
      <c r="D1080" s="30"/>
      <c r="E1080" s="66"/>
      <c r="F1080" s="66"/>
      <c r="G1080" s="66"/>
      <c r="H1080" s="66"/>
      <c r="I1080" s="66"/>
      <c r="J1080" s="66"/>
      <c r="K1080" s="66"/>
      <c r="L1080" s="66"/>
      <c r="M1080" s="66"/>
      <c r="N1080" s="66"/>
      <c r="O1080" s="66"/>
      <c r="P1080" s="66"/>
    </row>
    <row r="1081" spans="2:16" x14ac:dyDescent="0.25">
      <c r="B1081" s="30"/>
      <c r="C1081" s="30"/>
      <c r="D1081" s="30"/>
      <c r="E1081" s="66"/>
      <c r="F1081" s="66"/>
      <c r="G1081" s="66"/>
      <c r="H1081" s="66"/>
      <c r="I1081" s="66"/>
      <c r="J1081" s="66"/>
      <c r="K1081" s="66"/>
      <c r="L1081" s="66"/>
      <c r="M1081" s="66"/>
      <c r="N1081" s="66"/>
      <c r="O1081" s="66"/>
      <c r="P1081" s="66"/>
    </row>
    <row r="1082" spans="2:16" x14ac:dyDescent="0.25">
      <c r="B1082" s="30"/>
      <c r="C1082" s="30"/>
      <c r="D1082" s="30"/>
      <c r="E1082" s="66"/>
      <c r="F1082" s="66"/>
      <c r="G1082" s="66"/>
      <c r="H1082" s="66"/>
      <c r="I1082" s="66"/>
      <c r="J1082" s="66"/>
      <c r="K1082" s="66"/>
      <c r="L1082" s="66"/>
      <c r="M1082" s="66"/>
      <c r="N1082" s="66"/>
      <c r="O1082" s="66"/>
      <c r="P1082" s="66"/>
    </row>
    <row r="1083" spans="2:16" x14ac:dyDescent="0.25">
      <c r="B1083" s="30"/>
      <c r="C1083" s="30"/>
      <c r="D1083" s="30"/>
      <c r="E1083" s="66"/>
      <c r="F1083" s="66"/>
      <c r="G1083" s="66"/>
      <c r="H1083" s="66"/>
      <c r="I1083" s="66"/>
      <c r="J1083" s="66"/>
      <c r="K1083" s="66"/>
      <c r="L1083" s="66"/>
      <c r="M1083" s="66"/>
      <c r="N1083" s="66"/>
      <c r="O1083" s="66"/>
      <c r="P1083" s="66"/>
    </row>
    <row r="1084" spans="2:16" x14ac:dyDescent="0.25">
      <c r="B1084" s="30"/>
      <c r="C1084" s="30"/>
      <c r="D1084" s="30"/>
      <c r="E1084" s="66"/>
      <c r="F1084" s="66"/>
      <c r="G1084" s="66"/>
      <c r="H1084" s="66"/>
      <c r="I1084" s="66"/>
      <c r="J1084" s="66"/>
      <c r="K1084" s="66"/>
      <c r="L1084" s="66"/>
      <c r="M1084" s="66"/>
      <c r="N1084" s="66"/>
      <c r="O1084" s="66"/>
      <c r="P1084" s="66"/>
    </row>
    <row r="1085" spans="2:16" x14ac:dyDescent="0.25">
      <c r="B1085" s="30"/>
      <c r="C1085" s="30"/>
      <c r="D1085" s="30"/>
      <c r="E1085" s="66"/>
      <c r="F1085" s="66"/>
      <c r="G1085" s="66"/>
      <c r="H1085" s="66"/>
      <c r="I1085" s="66"/>
      <c r="J1085" s="66"/>
      <c r="K1085" s="66"/>
      <c r="L1085" s="66"/>
      <c r="M1085" s="66"/>
      <c r="N1085" s="66"/>
      <c r="O1085" s="66"/>
      <c r="P1085" s="66"/>
    </row>
    <row r="1086" spans="2:16" x14ac:dyDescent="0.25">
      <c r="B1086" s="30"/>
      <c r="C1086" s="30"/>
      <c r="D1086" s="30"/>
      <c r="E1086" s="66"/>
      <c r="F1086" s="66"/>
      <c r="G1086" s="66"/>
      <c r="H1086" s="66"/>
      <c r="I1086" s="66"/>
      <c r="J1086" s="66"/>
      <c r="K1086" s="66"/>
      <c r="L1086" s="66"/>
      <c r="M1086" s="66"/>
      <c r="N1086" s="66"/>
      <c r="O1086" s="66"/>
      <c r="P1086" s="66"/>
    </row>
    <row r="1087" spans="2:16" x14ac:dyDescent="0.25">
      <c r="B1087" s="30"/>
      <c r="C1087" s="30"/>
      <c r="D1087" s="30"/>
      <c r="E1087" s="66"/>
      <c r="F1087" s="66"/>
      <c r="G1087" s="66"/>
      <c r="H1087" s="66"/>
      <c r="I1087" s="66"/>
      <c r="J1087" s="66"/>
      <c r="K1087" s="66"/>
      <c r="L1087" s="66"/>
      <c r="M1087" s="66"/>
      <c r="N1087" s="66"/>
      <c r="O1087" s="66"/>
      <c r="P1087" s="66"/>
    </row>
    <row r="1088" spans="2:16" x14ac:dyDescent="0.25">
      <c r="B1088" s="30"/>
      <c r="C1088" s="30"/>
      <c r="D1088" s="30"/>
      <c r="E1088" s="66"/>
      <c r="F1088" s="66"/>
      <c r="G1088" s="66"/>
      <c r="H1088" s="66"/>
      <c r="I1088" s="66"/>
      <c r="J1088" s="66"/>
      <c r="K1088" s="66"/>
      <c r="L1088" s="66"/>
      <c r="M1088" s="66"/>
      <c r="N1088" s="66"/>
      <c r="O1088" s="66"/>
      <c r="P1088" s="66"/>
    </row>
    <row r="1089" spans="2:16" x14ac:dyDescent="0.25">
      <c r="B1089" s="30"/>
      <c r="C1089" s="30"/>
      <c r="D1089" s="30"/>
      <c r="E1089" s="66"/>
      <c r="F1089" s="66"/>
      <c r="G1089" s="66"/>
      <c r="H1089" s="66"/>
      <c r="I1089" s="66"/>
      <c r="J1089" s="66"/>
      <c r="K1089" s="66"/>
      <c r="L1089" s="66"/>
      <c r="M1089" s="66"/>
      <c r="N1089" s="66"/>
      <c r="O1089" s="66"/>
      <c r="P1089" s="66"/>
    </row>
    <row r="1090" spans="2:16" x14ac:dyDescent="0.25">
      <c r="B1090" s="30"/>
      <c r="C1090" s="30"/>
      <c r="D1090" s="30"/>
      <c r="E1090" s="66"/>
      <c r="F1090" s="66"/>
      <c r="G1090" s="66"/>
      <c r="H1090" s="66"/>
      <c r="I1090" s="66"/>
      <c r="J1090" s="66"/>
      <c r="K1090" s="66"/>
      <c r="L1090" s="66"/>
      <c r="M1090" s="66"/>
      <c r="N1090" s="66"/>
      <c r="O1090" s="66"/>
      <c r="P1090" s="66"/>
    </row>
    <row r="1091" spans="2:16" x14ac:dyDescent="0.25">
      <c r="B1091" s="30"/>
      <c r="C1091" s="30"/>
      <c r="D1091" s="30"/>
      <c r="E1091" s="66"/>
      <c r="F1091" s="66"/>
      <c r="G1091" s="66"/>
      <c r="H1091" s="66"/>
      <c r="I1091" s="66"/>
      <c r="J1091" s="66"/>
      <c r="K1091" s="66"/>
      <c r="L1091" s="66"/>
      <c r="M1091" s="66"/>
      <c r="N1091" s="66"/>
      <c r="O1091" s="66"/>
      <c r="P1091" s="66"/>
    </row>
    <row r="1092" spans="2:16" x14ac:dyDescent="0.25">
      <c r="B1092" s="30"/>
      <c r="C1092" s="30"/>
      <c r="D1092" s="30"/>
      <c r="E1092" s="66"/>
      <c r="F1092" s="66"/>
      <c r="G1092" s="66"/>
      <c r="H1092" s="66"/>
      <c r="I1092" s="66"/>
      <c r="J1092" s="66"/>
      <c r="K1092" s="66"/>
      <c r="L1092" s="66"/>
      <c r="M1092" s="66"/>
      <c r="N1092" s="66"/>
      <c r="O1092" s="66"/>
      <c r="P1092" s="66"/>
    </row>
    <row r="1093" spans="2:16" x14ac:dyDescent="0.25">
      <c r="B1093" s="30"/>
      <c r="C1093" s="30"/>
      <c r="D1093" s="30"/>
      <c r="E1093" s="66"/>
      <c r="F1093" s="66"/>
      <c r="G1093" s="66"/>
      <c r="H1093" s="66"/>
      <c r="I1093" s="66"/>
      <c r="J1093" s="66"/>
      <c r="K1093" s="66"/>
      <c r="L1093" s="66"/>
      <c r="M1093" s="66"/>
      <c r="N1093" s="66"/>
      <c r="O1093" s="66"/>
      <c r="P1093" s="66"/>
    </row>
    <row r="1094" spans="2:16" x14ac:dyDescent="0.25">
      <c r="B1094" s="30"/>
      <c r="C1094" s="30"/>
      <c r="D1094" s="30"/>
      <c r="E1094" s="66"/>
      <c r="F1094" s="66"/>
      <c r="G1094" s="66"/>
      <c r="H1094" s="66"/>
      <c r="I1094" s="66"/>
      <c r="J1094" s="66"/>
      <c r="K1094" s="66"/>
      <c r="L1094" s="66"/>
      <c r="M1094" s="66"/>
      <c r="N1094" s="66"/>
      <c r="O1094" s="66"/>
      <c r="P1094" s="66"/>
    </row>
    <row r="1095" spans="2:16" x14ac:dyDescent="0.25">
      <c r="B1095" s="30"/>
      <c r="C1095" s="30"/>
      <c r="D1095" s="30"/>
      <c r="E1095" s="66"/>
      <c r="F1095" s="66"/>
      <c r="G1095" s="66"/>
      <c r="H1095" s="66"/>
      <c r="I1095" s="66"/>
      <c r="J1095" s="66"/>
      <c r="K1095" s="66"/>
      <c r="L1095" s="66"/>
      <c r="M1095" s="66"/>
      <c r="N1095" s="66"/>
      <c r="O1095" s="66"/>
      <c r="P1095" s="66"/>
    </row>
    <row r="1096" spans="2:16" x14ac:dyDescent="0.25">
      <c r="B1096" s="30"/>
      <c r="C1096" s="30"/>
      <c r="D1096" s="30"/>
      <c r="E1096" s="66"/>
      <c r="F1096" s="66"/>
      <c r="G1096" s="66"/>
      <c r="H1096" s="66"/>
      <c r="I1096" s="66"/>
      <c r="J1096" s="66"/>
      <c r="K1096" s="66"/>
      <c r="L1096" s="66"/>
      <c r="M1096" s="66"/>
      <c r="N1096" s="66"/>
      <c r="O1096" s="66"/>
      <c r="P1096" s="66"/>
    </row>
    <row r="1097" spans="2:16" x14ac:dyDescent="0.25">
      <c r="B1097" s="30"/>
      <c r="C1097" s="30"/>
      <c r="D1097" s="30"/>
      <c r="E1097" s="66"/>
      <c r="F1097" s="66"/>
      <c r="G1097" s="66"/>
      <c r="H1097" s="66"/>
      <c r="I1097" s="66"/>
      <c r="J1097" s="66"/>
      <c r="K1097" s="66"/>
      <c r="L1097" s="66"/>
      <c r="M1097" s="66"/>
      <c r="N1097" s="66"/>
      <c r="O1097" s="66"/>
      <c r="P1097" s="66"/>
    </row>
    <row r="1098" spans="2:16" x14ac:dyDescent="0.25">
      <c r="B1098" s="30"/>
      <c r="C1098" s="30"/>
      <c r="D1098" s="30"/>
      <c r="E1098" s="66"/>
      <c r="F1098" s="66"/>
      <c r="G1098" s="66"/>
      <c r="H1098" s="66"/>
      <c r="I1098" s="66"/>
      <c r="J1098" s="66"/>
      <c r="K1098" s="66"/>
      <c r="L1098" s="66"/>
      <c r="M1098" s="66"/>
      <c r="N1098" s="66"/>
      <c r="O1098" s="66"/>
      <c r="P1098" s="66"/>
    </row>
    <row r="1099" spans="2:16" x14ac:dyDescent="0.25">
      <c r="B1099" s="30"/>
      <c r="C1099" s="30"/>
      <c r="D1099" s="30"/>
      <c r="E1099" s="66"/>
      <c r="F1099" s="66"/>
      <c r="G1099" s="66"/>
      <c r="H1099" s="66"/>
      <c r="I1099" s="66"/>
      <c r="J1099" s="66"/>
      <c r="K1099" s="66"/>
      <c r="L1099" s="66"/>
      <c r="M1099" s="66"/>
      <c r="N1099" s="66"/>
      <c r="O1099" s="66"/>
      <c r="P1099" s="66"/>
    </row>
    <row r="1100" spans="2:16" x14ac:dyDescent="0.25">
      <c r="B1100" s="30"/>
      <c r="C1100" s="30"/>
      <c r="D1100" s="30"/>
      <c r="E1100" s="66"/>
      <c r="F1100" s="66"/>
      <c r="G1100" s="66"/>
      <c r="H1100" s="66"/>
      <c r="I1100" s="66"/>
      <c r="J1100" s="66"/>
      <c r="K1100" s="66"/>
      <c r="L1100" s="66"/>
      <c r="M1100" s="66"/>
      <c r="N1100" s="66"/>
      <c r="O1100" s="66"/>
      <c r="P1100" s="66"/>
    </row>
    <row r="1101" spans="2:16" x14ac:dyDescent="0.25">
      <c r="B1101" s="30"/>
      <c r="C1101" s="30"/>
      <c r="D1101" s="30"/>
      <c r="E1101" s="66"/>
      <c r="F1101" s="66"/>
      <c r="G1101" s="66"/>
      <c r="H1101" s="66"/>
      <c r="I1101" s="66"/>
      <c r="J1101" s="66"/>
      <c r="K1101" s="66"/>
      <c r="L1101" s="66"/>
      <c r="M1101" s="66"/>
      <c r="N1101" s="66"/>
      <c r="O1101" s="66"/>
      <c r="P1101" s="66"/>
    </row>
    <row r="1102" spans="2:16" x14ac:dyDescent="0.25">
      <c r="B1102" s="30"/>
      <c r="C1102" s="30"/>
      <c r="D1102" s="30"/>
      <c r="E1102" s="66"/>
      <c r="F1102" s="66"/>
      <c r="G1102" s="66"/>
      <c r="H1102" s="66"/>
      <c r="I1102" s="66"/>
      <c r="J1102" s="66"/>
      <c r="K1102" s="66"/>
      <c r="L1102" s="66"/>
      <c r="M1102" s="66"/>
      <c r="N1102" s="66"/>
      <c r="O1102" s="66"/>
      <c r="P1102" s="66"/>
    </row>
    <row r="1103" spans="2:16" x14ac:dyDescent="0.25">
      <c r="B1103" s="30"/>
      <c r="C1103" s="30"/>
      <c r="D1103" s="30"/>
      <c r="E1103" s="66"/>
      <c r="F1103" s="66"/>
      <c r="G1103" s="66"/>
      <c r="H1103" s="66"/>
      <c r="I1103" s="66"/>
      <c r="J1103" s="66"/>
      <c r="K1103" s="66"/>
      <c r="L1103" s="66"/>
      <c r="M1103" s="66"/>
      <c r="N1103" s="66"/>
      <c r="O1103" s="66"/>
      <c r="P1103" s="66"/>
    </row>
    <row r="1104" spans="2:16" x14ac:dyDescent="0.25">
      <c r="B1104" s="30"/>
      <c r="C1104" s="30"/>
      <c r="D1104" s="30"/>
      <c r="E1104" s="66"/>
      <c r="F1104" s="66"/>
      <c r="G1104" s="66"/>
      <c r="H1104" s="66"/>
      <c r="I1104" s="66"/>
      <c r="J1104" s="66"/>
      <c r="K1104" s="66"/>
      <c r="L1104" s="66"/>
      <c r="M1104" s="66"/>
      <c r="N1104" s="66"/>
      <c r="O1104" s="66"/>
      <c r="P1104" s="66"/>
    </row>
    <row r="1105" spans="2:16" x14ac:dyDescent="0.25">
      <c r="B1105" s="30"/>
      <c r="C1105" s="30"/>
      <c r="D1105" s="30"/>
      <c r="E1105" s="66"/>
      <c r="F1105" s="66"/>
      <c r="G1105" s="66"/>
      <c r="H1105" s="66"/>
      <c r="I1105" s="66"/>
      <c r="J1105" s="66"/>
      <c r="K1105" s="66"/>
      <c r="L1105" s="66"/>
      <c r="M1105" s="66"/>
      <c r="N1105" s="66"/>
      <c r="O1105" s="66"/>
      <c r="P1105" s="66"/>
    </row>
    <row r="1106" spans="2:16" x14ac:dyDescent="0.25">
      <c r="B1106" s="30"/>
      <c r="C1106" s="30"/>
      <c r="D1106" s="30"/>
      <c r="E1106" s="66"/>
      <c r="F1106" s="66"/>
      <c r="G1106" s="66"/>
      <c r="H1106" s="66"/>
      <c r="I1106" s="66"/>
      <c r="J1106" s="66"/>
      <c r="K1106" s="66"/>
      <c r="L1106" s="66"/>
      <c r="M1106" s="66"/>
      <c r="N1106" s="66"/>
      <c r="O1106" s="66"/>
      <c r="P1106" s="66"/>
    </row>
    <row r="1107" spans="2:16" x14ac:dyDescent="0.25">
      <c r="B1107" s="30"/>
      <c r="C1107" s="30"/>
      <c r="D1107" s="30"/>
      <c r="E1107" s="66"/>
      <c r="F1107" s="66"/>
      <c r="G1107" s="66"/>
      <c r="H1107" s="66"/>
      <c r="I1107" s="66"/>
      <c r="J1107" s="66"/>
      <c r="K1107" s="66"/>
      <c r="L1107" s="66"/>
      <c r="M1107" s="66"/>
      <c r="N1107" s="66"/>
      <c r="O1107" s="66"/>
      <c r="P1107" s="66"/>
    </row>
    <row r="1108" spans="2:16" x14ac:dyDescent="0.25">
      <c r="B1108" s="30"/>
      <c r="C1108" s="30"/>
      <c r="D1108" s="30"/>
      <c r="E1108" s="66"/>
      <c r="F1108" s="66"/>
      <c r="G1108" s="66"/>
      <c r="H1108" s="66"/>
      <c r="I1108" s="66"/>
      <c r="J1108" s="66"/>
      <c r="K1108" s="66"/>
      <c r="L1108" s="66"/>
      <c r="M1108" s="66"/>
      <c r="N1108" s="66"/>
      <c r="O1108" s="66"/>
      <c r="P1108" s="66"/>
    </row>
    <row r="1109" spans="2:16" x14ac:dyDescent="0.25">
      <c r="B1109" s="30"/>
      <c r="C1109" s="30"/>
      <c r="D1109" s="30"/>
      <c r="E1109" s="66"/>
      <c r="F1109" s="66"/>
      <c r="G1109" s="66"/>
      <c r="H1109" s="66"/>
      <c r="I1109" s="66"/>
      <c r="J1109" s="66"/>
      <c r="K1109" s="66"/>
      <c r="L1109" s="66"/>
      <c r="M1109" s="66"/>
      <c r="N1109" s="66"/>
      <c r="O1109" s="66"/>
      <c r="P1109" s="66"/>
    </row>
    <row r="1110" spans="2:16" x14ac:dyDescent="0.25">
      <c r="B1110" s="30"/>
      <c r="C1110" s="30"/>
      <c r="D1110" s="30"/>
      <c r="E1110" s="66"/>
      <c r="F1110" s="66"/>
      <c r="G1110" s="66"/>
      <c r="H1110" s="66"/>
      <c r="I1110" s="66"/>
      <c r="J1110" s="66"/>
      <c r="K1110" s="66"/>
      <c r="L1110" s="66"/>
      <c r="M1110" s="66"/>
      <c r="N1110" s="66"/>
      <c r="O1110" s="66"/>
      <c r="P1110" s="66"/>
    </row>
    <row r="1111" spans="2:16" x14ac:dyDescent="0.25">
      <c r="B1111" s="30"/>
      <c r="C1111" s="30"/>
      <c r="D1111" s="30"/>
      <c r="E1111" s="66"/>
      <c r="F1111" s="66"/>
      <c r="G1111" s="66"/>
      <c r="H1111" s="66"/>
      <c r="I1111" s="66"/>
      <c r="J1111" s="66"/>
      <c r="K1111" s="66"/>
      <c r="L1111" s="66"/>
      <c r="M1111" s="66"/>
      <c r="N1111" s="66"/>
      <c r="O1111" s="66"/>
      <c r="P1111" s="66"/>
    </row>
    <row r="1112" spans="2:16" x14ac:dyDescent="0.25">
      <c r="B1112" s="30"/>
      <c r="C1112" s="30"/>
      <c r="D1112" s="30"/>
      <c r="E1112" s="66"/>
      <c r="F1112" s="66"/>
      <c r="G1112" s="66"/>
      <c r="H1112" s="66"/>
      <c r="I1112" s="66"/>
      <c r="J1112" s="66"/>
      <c r="K1112" s="66"/>
      <c r="L1112" s="66"/>
      <c r="M1112" s="66"/>
      <c r="N1112" s="66"/>
      <c r="O1112" s="66"/>
      <c r="P1112" s="66"/>
    </row>
    <row r="1113" spans="2:16" x14ac:dyDescent="0.25">
      <c r="B1113" s="30"/>
      <c r="C1113" s="30"/>
      <c r="D1113" s="30"/>
      <c r="E1113" s="66"/>
      <c r="F1113" s="66"/>
      <c r="G1113" s="66"/>
      <c r="H1113" s="66"/>
      <c r="I1113" s="66"/>
      <c r="J1113" s="66"/>
      <c r="K1113" s="66"/>
      <c r="L1113" s="66"/>
      <c r="M1113" s="66"/>
      <c r="N1113" s="66"/>
      <c r="O1113" s="66"/>
      <c r="P1113" s="66"/>
    </row>
    <row r="1114" spans="2:16" x14ac:dyDescent="0.25">
      <c r="B1114" s="30"/>
      <c r="C1114" s="30"/>
      <c r="D1114" s="30"/>
      <c r="E1114" s="66"/>
      <c r="F1114" s="66"/>
      <c r="G1114" s="66"/>
      <c r="H1114" s="66"/>
      <c r="I1114" s="66"/>
      <c r="J1114" s="66"/>
      <c r="K1114" s="66"/>
      <c r="L1114" s="66"/>
      <c r="M1114" s="66"/>
      <c r="N1114" s="66"/>
      <c r="O1114" s="66"/>
      <c r="P1114" s="66"/>
    </row>
    <row r="1115" spans="2:16" x14ac:dyDescent="0.25">
      <c r="B1115" s="30"/>
      <c r="C1115" s="30"/>
      <c r="D1115" s="30"/>
      <c r="E1115" s="66"/>
      <c r="F1115" s="66"/>
      <c r="G1115" s="66"/>
      <c r="H1115" s="66"/>
      <c r="I1115" s="66"/>
      <c r="J1115" s="66"/>
      <c r="K1115" s="66"/>
      <c r="L1115" s="66"/>
      <c r="M1115" s="66"/>
      <c r="N1115" s="66"/>
      <c r="O1115" s="66"/>
      <c r="P1115" s="66"/>
    </row>
    <row r="1116" spans="2:16" x14ac:dyDescent="0.25">
      <c r="B1116" s="30"/>
      <c r="C1116" s="30"/>
      <c r="D1116" s="30"/>
      <c r="E1116" s="66"/>
      <c r="F1116" s="66"/>
      <c r="G1116" s="66"/>
      <c r="H1116" s="66"/>
      <c r="I1116" s="66"/>
      <c r="J1116" s="66"/>
      <c r="K1116" s="66"/>
      <c r="L1116" s="66"/>
      <c r="M1116" s="66"/>
      <c r="N1116" s="66"/>
      <c r="O1116" s="66"/>
      <c r="P1116" s="66"/>
    </row>
    <row r="1117" spans="2:16" x14ac:dyDescent="0.25">
      <c r="B1117" s="30"/>
      <c r="C1117" s="30"/>
      <c r="D1117" s="30"/>
      <c r="E1117" s="66"/>
      <c r="F1117" s="66"/>
      <c r="G1117" s="66"/>
      <c r="H1117" s="66"/>
      <c r="I1117" s="66"/>
      <c r="J1117" s="66"/>
      <c r="K1117" s="66"/>
      <c r="L1117" s="66"/>
      <c r="M1117" s="66"/>
      <c r="N1117" s="66"/>
      <c r="O1117" s="66"/>
      <c r="P1117" s="66"/>
    </row>
    <row r="1118" spans="2:16" x14ac:dyDescent="0.25">
      <c r="B1118" s="30"/>
      <c r="C1118" s="30"/>
      <c r="D1118" s="30"/>
      <c r="E1118" s="66"/>
      <c r="F1118" s="66"/>
      <c r="G1118" s="66"/>
      <c r="H1118" s="66"/>
      <c r="I1118" s="66"/>
      <c r="J1118" s="66"/>
      <c r="K1118" s="66"/>
      <c r="L1118" s="66"/>
      <c r="M1118" s="66"/>
      <c r="N1118" s="66"/>
      <c r="O1118" s="66"/>
      <c r="P1118" s="66"/>
    </row>
    <row r="1119" spans="2:16" x14ac:dyDescent="0.25">
      <c r="B1119" s="30"/>
      <c r="C1119" s="30"/>
      <c r="D1119" s="30"/>
      <c r="E1119" s="66"/>
      <c r="F1119" s="66"/>
      <c r="G1119" s="66"/>
      <c r="H1119" s="66"/>
      <c r="I1119" s="66"/>
      <c r="J1119" s="66"/>
      <c r="K1119" s="66"/>
      <c r="L1119" s="66"/>
      <c r="M1119" s="66"/>
      <c r="N1119" s="66"/>
      <c r="O1119" s="66"/>
      <c r="P1119" s="66"/>
    </row>
    <row r="1120" spans="2:16" x14ac:dyDescent="0.25">
      <c r="G1120" s="66"/>
      <c r="H1120" s="66"/>
      <c r="I1120" s="66"/>
      <c r="J1120" s="66"/>
      <c r="K1120" s="66"/>
      <c r="L1120" s="66"/>
      <c r="M1120" s="66"/>
      <c r="N1120" s="66"/>
      <c r="O1120" s="66"/>
      <c r="P1120" s="66"/>
    </row>
    <row r="1121" spans="10:16" x14ac:dyDescent="0.25">
      <c r="J1121" s="66"/>
      <c r="K1121" s="66"/>
      <c r="L1121" s="66"/>
      <c r="M1121" s="66"/>
      <c r="N1121" s="66"/>
      <c r="O1121" s="66"/>
      <c r="P1121" s="66"/>
    </row>
    <row r="1122" spans="10:16" x14ac:dyDescent="0.25">
      <c r="J1122" s="66"/>
      <c r="K1122" s="66"/>
      <c r="L1122" s="66"/>
      <c r="M1122" s="66"/>
      <c r="N1122" s="66"/>
      <c r="O1122" s="66"/>
      <c r="P1122" s="66"/>
    </row>
    <row r="1123" spans="10:16" x14ac:dyDescent="0.25">
      <c r="J1123" s="66"/>
      <c r="K1123" s="66"/>
      <c r="L1123" s="66"/>
      <c r="M1123" s="66"/>
      <c r="N1123" s="66"/>
      <c r="O1123" s="66"/>
      <c r="P1123" s="66"/>
    </row>
    <row r="1124" spans="10:16" x14ac:dyDescent="0.25">
      <c r="J1124" s="66"/>
      <c r="K1124" s="66"/>
      <c r="L1124" s="66"/>
      <c r="M1124" s="66"/>
      <c r="N1124" s="66"/>
      <c r="O1124" s="66"/>
      <c r="P1124" s="66"/>
    </row>
    <row r="1125" spans="10:16" x14ac:dyDescent="0.25">
      <c r="J1125" s="66"/>
      <c r="K1125" s="66"/>
      <c r="L1125" s="66"/>
      <c r="M1125" s="66"/>
      <c r="N1125" s="66"/>
      <c r="O1125" s="66"/>
      <c r="P1125" s="66"/>
    </row>
    <row r="1126" spans="10:16" x14ac:dyDescent="0.25">
      <c r="J1126" s="66"/>
      <c r="K1126" s="66"/>
      <c r="L1126" s="66"/>
      <c r="M1126" s="66"/>
      <c r="N1126" s="66"/>
      <c r="O1126" s="66"/>
      <c r="P1126" s="66"/>
    </row>
    <row r="1127" spans="10:16" x14ac:dyDescent="0.25">
      <c r="J1127" s="66"/>
      <c r="K1127" s="66"/>
      <c r="L1127" s="66"/>
      <c r="M1127" s="66"/>
      <c r="N1127" s="66"/>
      <c r="O1127" s="66"/>
      <c r="P1127" s="66"/>
    </row>
    <row r="1128" spans="10:16" x14ac:dyDescent="0.25">
      <c r="J1128" s="66"/>
      <c r="K1128" s="66"/>
      <c r="L1128" s="66"/>
      <c r="M1128" s="66"/>
      <c r="N1128" s="66"/>
      <c r="O1128" s="66"/>
      <c r="P1128" s="66"/>
    </row>
    <row r="1129" spans="10:16" x14ac:dyDescent="0.25">
      <c r="J1129" s="66"/>
      <c r="K1129" s="66"/>
      <c r="L1129" s="66"/>
      <c r="M1129" s="66"/>
      <c r="N1129" s="66"/>
      <c r="O1129" s="66"/>
      <c r="P1129" s="66"/>
    </row>
    <row r="1130" spans="10:16" x14ac:dyDescent="0.25">
      <c r="J1130" s="66"/>
      <c r="K1130" s="66"/>
      <c r="L1130" s="66"/>
      <c r="M1130" s="66"/>
      <c r="N1130" s="66"/>
      <c r="O1130" s="66"/>
      <c r="P1130" s="66"/>
    </row>
    <row r="1131" spans="10:16" x14ac:dyDescent="0.25">
      <c r="J1131" s="66"/>
      <c r="K1131" s="66"/>
      <c r="L1131" s="66"/>
      <c r="M1131" s="66"/>
      <c r="N1131" s="66"/>
      <c r="O1131" s="66"/>
      <c r="P1131" s="66"/>
    </row>
    <row r="1132" spans="10:16" x14ac:dyDescent="0.25">
      <c r="J1132" s="66"/>
      <c r="K1132" s="66"/>
      <c r="L1132" s="66"/>
      <c r="M1132" s="66"/>
      <c r="N1132" s="66"/>
      <c r="O1132" s="66"/>
      <c r="P1132" s="66"/>
    </row>
    <row r="1133" spans="10:16" x14ac:dyDescent="0.25">
      <c r="J1133" s="66"/>
      <c r="K1133" s="66"/>
      <c r="L1133" s="66"/>
      <c r="M1133" s="66"/>
      <c r="N1133" s="66"/>
      <c r="O1133" s="66"/>
      <c r="P1133" s="66"/>
    </row>
    <row r="1134" spans="10:16" x14ac:dyDescent="0.25">
      <c r="J1134" s="66"/>
      <c r="K1134" s="66"/>
      <c r="L1134" s="66"/>
      <c r="M1134" s="66"/>
      <c r="N1134" s="66"/>
      <c r="O1134" s="66"/>
      <c r="P1134" s="66"/>
    </row>
    <row r="1135" spans="10:16" x14ac:dyDescent="0.25">
      <c r="J1135" s="66"/>
      <c r="K1135" s="66"/>
      <c r="L1135" s="66"/>
      <c r="M1135" s="66"/>
      <c r="N1135" s="66"/>
      <c r="O1135" s="66"/>
      <c r="P1135" s="66"/>
    </row>
    <row r="1136" spans="10:16" x14ac:dyDescent="0.25">
      <c r="J1136" s="66"/>
      <c r="K1136" s="66"/>
      <c r="L1136" s="66"/>
      <c r="M1136" s="66"/>
      <c r="N1136" s="66"/>
      <c r="O1136" s="66"/>
      <c r="P1136" s="66"/>
    </row>
    <row r="1137" spans="10:16" x14ac:dyDescent="0.25">
      <c r="J1137" s="66"/>
      <c r="K1137" s="66"/>
      <c r="L1137" s="66"/>
      <c r="M1137" s="66"/>
      <c r="N1137" s="66"/>
      <c r="O1137" s="66"/>
      <c r="P1137" s="66"/>
    </row>
    <row r="1138" spans="10:16" x14ac:dyDescent="0.25">
      <c r="J1138" s="66"/>
      <c r="K1138" s="66"/>
      <c r="L1138" s="66"/>
      <c r="M1138" s="66"/>
      <c r="N1138" s="66"/>
      <c r="O1138" s="66"/>
      <c r="P1138" s="66"/>
    </row>
    <row r="1139" spans="10:16" x14ac:dyDescent="0.25">
      <c r="J1139" s="66"/>
      <c r="K1139" s="66"/>
      <c r="L1139" s="66"/>
      <c r="M1139" s="66"/>
      <c r="N1139" s="66"/>
      <c r="O1139" s="66"/>
      <c r="P1139" s="66"/>
    </row>
    <row r="1140" spans="10:16" x14ac:dyDescent="0.25">
      <c r="J1140" s="66"/>
      <c r="K1140" s="66"/>
      <c r="L1140" s="66"/>
      <c r="M1140" s="66"/>
      <c r="N1140" s="66"/>
      <c r="O1140" s="66"/>
      <c r="P1140" s="66"/>
    </row>
    <row r="1141" spans="10:16" x14ac:dyDescent="0.25">
      <c r="J1141" s="66"/>
      <c r="K1141" s="66"/>
      <c r="L1141" s="66"/>
      <c r="M1141" s="66"/>
      <c r="N1141" s="66"/>
      <c r="O1141" s="66"/>
      <c r="P1141" s="66"/>
    </row>
    <row r="1142" spans="10:16" x14ac:dyDescent="0.25">
      <c r="J1142" s="66"/>
      <c r="K1142" s="66"/>
      <c r="L1142" s="66"/>
      <c r="M1142" s="66"/>
      <c r="N1142" s="66"/>
      <c r="O1142" s="66"/>
      <c r="P1142" s="66"/>
    </row>
    <row r="1143" spans="10:16" x14ac:dyDescent="0.25">
      <c r="J1143" s="66"/>
      <c r="K1143" s="66"/>
      <c r="L1143" s="66"/>
      <c r="M1143" s="66"/>
      <c r="N1143" s="66"/>
      <c r="O1143" s="66"/>
      <c r="P1143" s="66"/>
    </row>
    <row r="1144" spans="10:16" x14ac:dyDescent="0.25">
      <c r="J1144" s="66"/>
      <c r="K1144" s="66"/>
      <c r="L1144" s="66"/>
      <c r="M1144" s="66"/>
      <c r="N1144" s="66"/>
      <c r="O1144" s="66"/>
      <c r="P1144" s="66"/>
    </row>
    <row r="1145" spans="10:16" x14ac:dyDescent="0.25">
      <c r="J1145" s="3">
        <f t="shared" ref="J1145:J1208" si="13">$AC$16-B1120</f>
        <v>-16.840292660104293</v>
      </c>
      <c r="K1145" s="3">
        <f t="shared" ref="K1145:K1208" si="14">-0.5*B1120-$AC$17</f>
        <v>-7.7755033054187912</v>
      </c>
      <c r="L1145" s="3">
        <f t="shared" ref="L1145:L1208" si="15">-0.75*B1120-$AC$18</f>
        <v>-69.267868167534161</v>
      </c>
      <c r="M1145" s="3">
        <f t="shared" ref="M1145:M1208" si="16">-B1120-$AC$19</f>
        <v>-13.58298309591499</v>
      </c>
      <c r="N1145" s="3" t="e">
        <f>(-0.25*B1120-#REF!)/0.5</f>
        <v>#REF!</v>
      </c>
      <c r="O1145" s="3" t="e">
        <f>#REF!/#REF!</f>
        <v>#REF!</v>
      </c>
      <c r="P1145" s="3" t="e">
        <f>-0.5*B1120-#REF!</f>
        <v>#REF!</v>
      </c>
    </row>
    <row r="1146" spans="10:16" x14ac:dyDescent="0.25">
      <c r="J1146" s="3">
        <f t="shared" si="13"/>
        <v>-16.840292660104293</v>
      </c>
      <c r="K1146" s="3">
        <f t="shared" si="14"/>
        <v>-7.7755033054187912</v>
      </c>
      <c r="L1146" s="3">
        <f t="shared" si="15"/>
        <v>-69.267868167534161</v>
      </c>
      <c r="M1146" s="3">
        <f t="shared" si="16"/>
        <v>-13.58298309591499</v>
      </c>
      <c r="N1146" s="3" t="e">
        <f>(-0.25*B1121-#REF!)/0.5</f>
        <v>#REF!</v>
      </c>
      <c r="O1146" s="3" t="e">
        <f>#REF!/#REF!</f>
        <v>#REF!</v>
      </c>
      <c r="P1146" s="3" t="e">
        <f>-0.5*B1121-#REF!</f>
        <v>#REF!</v>
      </c>
    </row>
    <row r="1147" spans="10:16" x14ac:dyDescent="0.25">
      <c r="J1147" s="3">
        <f t="shared" si="13"/>
        <v>-16.840292660104293</v>
      </c>
      <c r="K1147" s="3">
        <f t="shared" si="14"/>
        <v>-7.7755033054187912</v>
      </c>
      <c r="L1147" s="3">
        <f t="shared" si="15"/>
        <v>-69.267868167534161</v>
      </c>
      <c r="M1147" s="3">
        <f t="shared" si="16"/>
        <v>-13.58298309591499</v>
      </c>
      <c r="N1147" s="3" t="e">
        <f>(-0.25*B1122-#REF!)/0.5</f>
        <v>#REF!</v>
      </c>
      <c r="O1147" s="3" t="e">
        <f>#REF!/#REF!</f>
        <v>#REF!</v>
      </c>
      <c r="P1147" s="3" t="e">
        <f>-0.5*B1122-#REF!</f>
        <v>#REF!</v>
      </c>
    </row>
    <row r="1148" spans="10:16" x14ac:dyDescent="0.25">
      <c r="J1148" s="3">
        <f t="shared" si="13"/>
        <v>-16.840292660104293</v>
      </c>
      <c r="K1148" s="3">
        <f t="shared" si="14"/>
        <v>-7.7755033054187912</v>
      </c>
      <c r="L1148" s="3">
        <f t="shared" si="15"/>
        <v>-69.267868167534161</v>
      </c>
      <c r="M1148" s="3">
        <f t="shared" si="16"/>
        <v>-13.58298309591499</v>
      </c>
      <c r="N1148" s="3" t="e">
        <f>(-0.25*B1123-#REF!)/0.5</f>
        <v>#REF!</v>
      </c>
      <c r="O1148" s="3" t="e">
        <f>#REF!/#REF!</f>
        <v>#REF!</v>
      </c>
      <c r="P1148" s="3" t="e">
        <f>-0.5*B1123-#REF!</f>
        <v>#REF!</v>
      </c>
    </row>
    <row r="1149" spans="10:16" x14ac:dyDescent="0.25">
      <c r="J1149" s="3">
        <f t="shared" si="13"/>
        <v>-16.840292660104293</v>
      </c>
      <c r="K1149" s="3">
        <f t="shared" si="14"/>
        <v>-7.7755033054187912</v>
      </c>
      <c r="L1149" s="3">
        <f t="shared" si="15"/>
        <v>-69.267868167534161</v>
      </c>
      <c r="M1149" s="3">
        <f t="shared" si="16"/>
        <v>-13.58298309591499</v>
      </c>
      <c r="N1149" s="3" t="e">
        <f>(-0.25*B1124-#REF!)/0.5</f>
        <v>#REF!</v>
      </c>
      <c r="O1149" s="3" t="e">
        <f>#REF!/#REF!</f>
        <v>#REF!</v>
      </c>
      <c r="P1149" s="3" t="e">
        <f>-0.5*B1124-#REF!</f>
        <v>#REF!</v>
      </c>
    </row>
    <row r="1150" spans="10:16" x14ac:dyDescent="0.25">
      <c r="J1150" s="3">
        <f t="shared" si="13"/>
        <v>-16.840292660104293</v>
      </c>
      <c r="K1150" s="3">
        <f t="shared" si="14"/>
        <v>-7.7755033054187912</v>
      </c>
      <c r="L1150" s="3">
        <f t="shared" si="15"/>
        <v>-69.267868167534161</v>
      </c>
      <c r="M1150" s="3">
        <f t="shared" si="16"/>
        <v>-13.58298309591499</v>
      </c>
      <c r="N1150" s="3" t="e">
        <f>(-0.25*B1125-#REF!)/0.5</f>
        <v>#REF!</v>
      </c>
      <c r="O1150" s="3" t="e">
        <f>#REF!/#REF!</f>
        <v>#REF!</v>
      </c>
      <c r="P1150" s="3" t="e">
        <f>-0.5*B1125-#REF!</f>
        <v>#REF!</v>
      </c>
    </row>
    <row r="1151" spans="10:16" x14ac:dyDescent="0.25">
      <c r="J1151" s="3">
        <f t="shared" si="13"/>
        <v>-16.840292660104293</v>
      </c>
      <c r="K1151" s="3">
        <f t="shared" si="14"/>
        <v>-7.7755033054187912</v>
      </c>
      <c r="L1151" s="3">
        <f t="shared" si="15"/>
        <v>-69.267868167534161</v>
      </c>
      <c r="M1151" s="3">
        <f t="shared" si="16"/>
        <v>-13.58298309591499</v>
      </c>
      <c r="N1151" s="3" t="e">
        <f>(-0.25*B1126-#REF!)/0.5</f>
        <v>#REF!</v>
      </c>
      <c r="O1151" s="3" t="e">
        <f>#REF!/#REF!</f>
        <v>#REF!</v>
      </c>
      <c r="P1151" s="3" t="e">
        <f>-0.5*B1126-#REF!</f>
        <v>#REF!</v>
      </c>
    </row>
    <row r="1152" spans="10:16" x14ac:dyDescent="0.25">
      <c r="J1152" s="3">
        <f t="shared" si="13"/>
        <v>-16.840292660104293</v>
      </c>
      <c r="K1152" s="3">
        <f t="shared" si="14"/>
        <v>-7.7755033054187912</v>
      </c>
      <c r="L1152" s="3">
        <f t="shared" si="15"/>
        <v>-69.267868167534161</v>
      </c>
      <c r="M1152" s="3">
        <f t="shared" si="16"/>
        <v>-13.58298309591499</v>
      </c>
      <c r="N1152" s="3" t="e">
        <f>(-0.25*B1127-#REF!)/0.5</f>
        <v>#REF!</v>
      </c>
      <c r="O1152" s="3" t="e">
        <f>#REF!/#REF!</f>
        <v>#REF!</v>
      </c>
      <c r="P1152" s="3" t="e">
        <f>-0.5*B1127-#REF!</f>
        <v>#REF!</v>
      </c>
    </row>
    <row r="1153" spans="10:16" x14ac:dyDescent="0.25">
      <c r="J1153" s="3">
        <f t="shared" si="13"/>
        <v>-16.840292660104293</v>
      </c>
      <c r="K1153" s="3">
        <f t="shared" si="14"/>
        <v>-7.7755033054187912</v>
      </c>
      <c r="L1153" s="3">
        <f t="shared" si="15"/>
        <v>-69.267868167534161</v>
      </c>
      <c r="M1153" s="3">
        <f t="shared" si="16"/>
        <v>-13.58298309591499</v>
      </c>
      <c r="N1153" s="3" t="e">
        <f>(-0.25*B1128-#REF!)/0.5</f>
        <v>#REF!</v>
      </c>
      <c r="O1153" s="3" t="e">
        <f>#REF!/#REF!</f>
        <v>#REF!</v>
      </c>
      <c r="P1153" s="3" t="e">
        <f>-0.5*B1128-#REF!</f>
        <v>#REF!</v>
      </c>
    </row>
    <row r="1154" spans="10:16" x14ac:dyDescent="0.25">
      <c r="J1154" s="3">
        <f t="shared" si="13"/>
        <v>-16.840292660104293</v>
      </c>
      <c r="K1154" s="3">
        <f t="shared" si="14"/>
        <v>-7.7755033054187912</v>
      </c>
      <c r="L1154" s="3">
        <f t="shared" si="15"/>
        <v>-69.267868167534161</v>
      </c>
      <c r="M1154" s="3">
        <f t="shared" si="16"/>
        <v>-13.58298309591499</v>
      </c>
      <c r="N1154" s="3" t="e">
        <f>(-0.25*B1129-#REF!)/0.5</f>
        <v>#REF!</v>
      </c>
      <c r="O1154" s="3" t="e">
        <f>#REF!/#REF!</f>
        <v>#REF!</v>
      </c>
      <c r="P1154" s="3" t="e">
        <f>-0.5*B1129-#REF!</f>
        <v>#REF!</v>
      </c>
    </row>
    <row r="1155" spans="10:16" x14ac:dyDescent="0.25">
      <c r="J1155" s="3">
        <f t="shared" si="13"/>
        <v>-16.840292660104293</v>
      </c>
      <c r="K1155" s="3">
        <f t="shared" si="14"/>
        <v>-7.7755033054187912</v>
      </c>
      <c r="L1155" s="3">
        <f t="shared" si="15"/>
        <v>-69.267868167534161</v>
      </c>
      <c r="M1155" s="3">
        <f t="shared" si="16"/>
        <v>-13.58298309591499</v>
      </c>
      <c r="N1155" s="3" t="e">
        <f>(-0.25*B1130-#REF!)/0.5</f>
        <v>#REF!</v>
      </c>
      <c r="O1155" s="3" t="e">
        <f>#REF!/#REF!</f>
        <v>#REF!</v>
      </c>
      <c r="P1155" s="3" t="e">
        <f>-0.5*B1130-#REF!</f>
        <v>#REF!</v>
      </c>
    </row>
    <row r="1156" spans="10:16" x14ac:dyDescent="0.25">
      <c r="J1156" s="3">
        <f t="shared" si="13"/>
        <v>-16.840292660104293</v>
      </c>
      <c r="K1156" s="3">
        <f t="shared" si="14"/>
        <v>-7.7755033054187912</v>
      </c>
      <c r="L1156" s="3">
        <f t="shared" si="15"/>
        <v>-69.267868167534161</v>
      </c>
      <c r="M1156" s="3">
        <f t="shared" si="16"/>
        <v>-13.58298309591499</v>
      </c>
      <c r="N1156" s="3" t="e">
        <f>(-0.25*B1131-#REF!)/0.5</f>
        <v>#REF!</v>
      </c>
      <c r="O1156" s="3" t="e">
        <f>#REF!/#REF!</f>
        <v>#REF!</v>
      </c>
      <c r="P1156" s="3" t="e">
        <f>-0.5*B1131-#REF!</f>
        <v>#REF!</v>
      </c>
    </row>
    <row r="1157" spans="10:16" x14ac:dyDescent="0.25">
      <c r="J1157" s="3">
        <f t="shared" si="13"/>
        <v>-16.840292660104293</v>
      </c>
      <c r="K1157" s="3">
        <f t="shared" si="14"/>
        <v>-7.7755033054187912</v>
      </c>
      <c r="L1157" s="3">
        <f t="shared" si="15"/>
        <v>-69.267868167534161</v>
      </c>
      <c r="M1157" s="3">
        <f t="shared" si="16"/>
        <v>-13.58298309591499</v>
      </c>
      <c r="N1157" s="3" t="e">
        <f>(-0.25*B1132-#REF!)/0.5</f>
        <v>#REF!</v>
      </c>
      <c r="O1157" s="3" t="e">
        <f>#REF!/#REF!</f>
        <v>#REF!</v>
      </c>
      <c r="P1157" s="3" t="e">
        <f>-0.5*B1132-#REF!</f>
        <v>#REF!</v>
      </c>
    </row>
    <row r="1158" spans="10:16" x14ac:dyDescent="0.25">
      <c r="J1158" s="3">
        <f t="shared" si="13"/>
        <v>-16.840292660104293</v>
      </c>
      <c r="K1158" s="3">
        <f t="shared" si="14"/>
        <v>-7.7755033054187912</v>
      </c>
      <c r="L1158" s="3">
        <f t="shared" si="15"/>
        <v>-69.267868167534161</v>
      </c>
      <c r="M1158" s="3">
        <f t="shared" si="16"/>
        <v>-13.58298309591499</v>
      </c>
      <c r="N1158" s="3" t="e">
        <f>(-0.25*B1133-#REF!)/0.5</f>
        <v>#REF!</v>
      </c>
      <c r="O1158" s="3" t="e">
        <f>#REF!/#REF!</f>
        <v>#REF!</v>
      </c>
      <c r="P1158" s="3" t="e">
        <f>-0.5*B1133-#REF!</f>
        <v>#REF!</v>
      </c>
    </row>
    <row r="1159" spans="10:16" x14ac:dyDescent="0.25">
      <c r="J1159" s="3">
        <f t="shared" si="13"/>
        <v>-16.840292660104293</v>
      </c>
      <c r="K1159" s="3">
        <f t="shared" si="14"/>
        <v>-7.7755033054187912</v>
      </c>
      <c r="L1159" s="3">
        <f t="shared" si="15"/>
        <v>-69.267868167534161</v>
      </c>
      <c r="M1159" s="3">
        <f t="shared" si="16"/>
        <v>-13.58298309591499</v>
      </c>
      <c r="N1159" s="3" t="e">
        <f>(-0.25*B1134-#REF!)/0.5</f>
        <v>#REF!</v>
      </c>
      <c r="O1159" s="3" t="e">
        <f>#REF!/#REF!</f>
        <v>#REF!</v>
      </c>
      <c r="P1159" s="3" t="e">
        <f>-0.5*B1134-#REF!</f>
        <v>#REF!</v>
      </c>
    </row>
    <row r="1160" spans="10:16" x14ac:dyDescent="0.25">
      <c r="J1160" s="3">
        <f t="shared" si="13"/>
        <v>-16.840292660104293</v>
      </c>
      <c r="K1160" s="3">
        <f t="shared" si="14"/>
        <v>-7.7755033054187912</v>
      </c>
      <c r="L1160" s="3">
        <f t="shared" si="15"/>
        <v>-69.267868167534161</v>
      </c>
      <c r="M1160" s="3">
        <f t="shared" si="16"/>
        <v>-13.58298309591499</v>
      </c>
      <c r="N1160" s="3" t="e">
        <f>(-0.25*B1135-#REF!)/0.5</f>
        <v>#REF!</v>
      </c>
      <c r="O1160" s="3" t="e">
        <f>#REF!/#REF!</f>
        <v>#REF!</v>
      </c>
      <c r="P1160" s="3" t="e">
        <f>-0.5*B1135-#REF!</f>
        <v>#REF!</v>
      </c>
    </row>
    <row r="1161" spans="10:16" x14ac:dyDescent="0.25">
      <c r="J1161" s="3">
        <f t="shared" si="13"/>
        <v>-16.840292660104293</v>
      </c>
      <c r="K1161" s="3">
        <f t="shared" si="14"/>
        <v>-7.7755033054187912</v>
      </c>
      <c r="L1161" s="3">
        <f t="shared" si="15"/>
        <v>-69.267868167534161</v>
      </c>
      <c r="M1161" s="3">
        <f t="shared" si="16"/>
        <v>-13.58298309591499</v>
      </c>
      <c r="N1161" s="3" t="e">
        <f>(-0.25*B1136-#REF!)/0.5</f>
        <v>#REF!</v>
      </c>
      <c r="O1161" s="3" t="e">
        <f>#REF!/#REF!</f>
        <v>#REF!</v>
      </c>
      <c r="P1161" s="3" t="e">
        <f>-0.5*B1136-#REF!</f>
        <v>#REF!</v>
      </c>
    </row>
    <row r="1162" spans="10:16" x14ac:dyDescent="0.25">
      <c r="J1162" s="3">
        <f t="shared" si="13"/>
        <v>-16.840292660104293</v>
      </c>
      <c r="K1162" s="3">
        <f t="shared" si="14"/>
        <v>-7.7755033054187912</v>
      </c>
      <c r="L1162" s="3">
        <f t="shared" si="15"/>
        <v>-69.267868167534161</v>
      </c>
      <c r="M1162" s="3">
        <f t="shared" si="16"/>
        <v>-13.58298309591499</v>
      </c>
      <c r="N1162" s="3" t="e">
        <f>(-0.25*B1137-#REF!)/0.5</f>
        <v>#REF!</v>
      </c>
      <c r="O1162" s="3" t="e">
        <f>#REF!/#REF!</f>
        <v>#REF!</v>
      </c>
      <c r="P1162" s="3" t="e">
        <f>-0.5*B1137-#REF!</f>
        <v>#REF!</v>
      </c>
    </row>
    <row r="1163" spans="10:16" x14ac:dyDescent="0.25">
      <c r="J1163" s="3">
        <f t="shared" si="13"/>
        <v>-16.840292660104293</v>
      </c>
      <c r="K1163" s="3">
        <f t="shared" si="14"/>
        <v>-7.7755033054187912</v>
      </c>
      <c r="L1163" s="3">
        <f t="shared" si="15"/>
        <v>-69.267868167534161</v>
      </c>
      <c r="M1163" s="3">
        <f t="shared" si="16"/>
        <v>-13.58298309591499</v>
      </c>
      <c r="N1163" s="3" t="e">
        <f>(-0.25*B1138-#REF!)/0.5</f>
        <v>#REF!</v>
      </c>
      <c r="O1163" s="3" t="e">
        <f>#REF!/#REF!</f>
        <v>#REF!</v>
      </c>
      <c r="P1163" s="3" t="e">
        <f>-0.5*B1138-#REF!</f>
        <v>#REF!</v>
      </c>
    </row>
    <row r="1164" spans="10:16" x14ac:dyDescent="0.25">
      <c r="J1164" s="3">
        <f t="shared" si="13"/>
        <v>-16.840292660104293</v>
      </c>
      <c r="K1164" s="3">
        <f t="shared" si="14"/>
        <v>-7.7755033054187912</v>
      </c>
      <c r="L1164" s="3">
        <f t="shared" si="15"/>
        <v>-69.267868167534161</v>
      </c>
      <c r="M1164" s="3">
        <f t="shared" si="16"/>
        <v>-13.58298309591499</v>
      </c>
      <c r="N1164" s="3" t="e">
        <f>(-0.25*B1139-#REF!)/0.5</f>
        <v>#REF!</v>
      </c>
      <c r="O1164" s="3" t="e">
        <f>#REF!/#REF!</f>
        <v>#REF!</v>
      </c>
      <c r="P1164" s="3" t="e">
        <f>-0.5*B1139-#REF!</f>
        <v>#REF!</v>
      </c>
    </row>
    <row r="1165" spans="10:16" x14ac:dyDescent="0.25">
      <c r="J1165" s="3">
        <f t="shared" si="13"/>
        <v>-16.840292660104293</v>
      </c>
      <c r="K1165" s="3">
        <f t="shared" si="14"/>
        <v>-7.7755033054187912</v>
      </c>
      <c r="L1165" s="3">
        <f t="shared" si="15"/>
        <v>-69.267868167534161</v>
      </c>
      <c r="M1165" s="3">
        <f t="shared" si="16"/>
        <v>-13.58298309591499</v>
      </c>
      <c r="N1165" s="3" t="e">
        <f>(-0.25*B1140-#REF!)/0.5</f>
        <v>#REF!</v>
      </c>
      <c r="O1165" s="3" t="e">
        <f>#REF!/#REF!</f>
        <v>#REF!</v>
      </c>
      <c r="P1165" s="3" t="e">
        <f>-0.5*B1140-#REF!</f>
        <v>#REF!</v>
      </c>
    </row>
    <row r="1166" spans="10:16" x14ac:dyDescent="0.25">
      <c r="J1166" s="3">
        <f t="shared" si="13"/>
        <v>-16.840292660104293</v>
      </c>
      <c r="K1166" s="3">
        <f t="shared" si="14"/>
        <v>-7.7755033054187912</v>
      </c>
      <c r="L1166" s="3">
        <f t="shared" si="15"/>
        <v>-69.267868167534161</v>
      </c>
      <c r="M1166" s="3">
        <f t="shared" si="16"/>
        <v>-13.58298309591499</v>
      </c>
      <c r="N1166" s="3" t="e">
        <f>(-0.25*B1141-#REF!)/0.5</f>
        <v>#REF!</v>
      </c>
      <c r="O1166" s="3" t="e">
        <f>#REF!/#REF!</f>
        <v>#REF!</v>
      </c>
      <c r="P1166" s="3" t="e">
        <f>-0.5*B1141-#REF!</f>
        <v>#REF!</v>
      </c>
    </row>
    <row r="1167" spans="10:16" x14ac:dyDescent="0.25">
      <c r="J1167" s="3">
        <f t="shared" si="13"/>
        <v>-16.840292660104293</v>
      </c>
      <c r="K1167" s="3">
        <f t="shared" si="14"/>
        <v>-7.7755033054187912</v>
      </c>
      <c r="L1167" s="3">
        <f t="shared" si="15"/>
        <v>-69.267868167534161</v>
      </c>
      <c r="M1167" s="3">
        <f t="shared" si="16"/>
        <v>-13.58298309591499</v>
      </c>
      <c r="N1167" s="3" t="e">
        <f>(-0.25*B1142-#REF!)/0.5</f>
        <v>#REF!</v>
      </c>
      <c r="O1167" s="3" t="e">
        <f>#REF!/#REF!</f>
        <v>#REF!</v>
      </c>
      <c r="P1167" s="3" t="e">
        <f>-0.5*B1142-#REF!</f>
        <v>#REF!</v>
      </c>
    </row>
    <row r="1168" spans="10:16" x14ac:dyDescent="0.25">
      <c r="J1168" s="3">
        <f t="shared" si="13"/>
        <v>-16.840292660104293</v>
      </c>
      <c r="K1168" s="3">
        <f t="shared" si="14"/>
        <v>-7.7755033054187912</v>
      </c>
      <c r="L1168" s="3">
        <f t="shared" si="15"/>
        <v>-69.267868167534161</v>
      </c>
      <c r="M1168" s="3">
        <f t="shared" si="16"/>
        <v>-13.58298309591499</v>
      </c>
      <c r="N1168" s="3" t="e">
        <f>(-0.25*B1143-#REF!)/0.5</f>
        <v>#REF!</v>
      </c>
      <c r="O1168" s="3" t="e">
        <f>#REF!/#REF!</f>
        <v>#REF!</v>
      </c>
      <c r="P1168" s="3" t="e">
        <f>-0.5*B1143-#REF!</f>
        <v>#REF!</v>
      </c>
    </row>
    <row r="1169" spans="10:16" x14ac:dyDescent="0.25">
      <c r="J1169" s="3">
        <f t="shared" si="13"/>
        <v>-16.840292660104293</v>
      </c>
      <c r="K1169" s="3">
        <f t="shared" si="14"/>
        <v>-7.7755033054187912</v>
      </c>
      <c r="L1169" s="3">
        <f t="shared" si="15"/>
        <v>-69.267868167534161</v>
      </c>
      <c r="M1169" s="3">
        <f t="shared" si="16"/>
        <v>-13.58298309591499</v>
      </c>
      <c r="N1169" s="3" t="e">
        <f>(-0.25*B1144-#REF!)/0.5</f>
        <v>#REF!</v>
      </c>
      <c r="O1169" s="3" t="e">
        <f>#REF!/#REF!</f>
        <v>#REF!</v>
      </c>
      <c r="P1169" s="3" t="e">
        <f>-0.5*B1144-#REF!</f>
        <v>#REF!</v>
      </c>
    </row>
    <row r="1170" spans="10:16" x14ac:dyDescent="0.25">
      <c r="J1170" s="3">
        <f t="shared" si="13"/>
        <v>-16.840292660104293</v>
      </c>
      <c r="K1170" s="3">
        <f t="shared" si="14"/>
        <v>-7.7755033054187912</v>
      </c>
      <c r="L1170" s="3">
        <f t="shared" si="15"/>
        <v>-69.267868167534161</v>
      </c>
      <c r="M1170" s="3">
        <f t="shared" si="16"/>
        <v>-13.58298309591499</v>
      </c>
      <c r="N1170" s="3" t="e">
        <f>(-0.25*B1145-#REF!)/0.5</f>
        <v>#REF!</v>
      </c>
      <c r="O1170" s="3" t="e">
        <f>#REF!/#REF!</f>
        <v>#REF!</v>
      </c>
      <c r="P1170" s="3" t="e">
        <f>-0.5*B1145-#REF!</f>
        <v>#REF!</v>
      </c>
    </row>
    <row r="1171" spans="10:16" x14ac:dyDescent="0.25">
      <c r="J1171" s="3">
        <f t="shared" si="13"/>
        <v>-16.840292660104293</v>
      </c>
      <c r="K1171" s="3">
        <f t="shared" si="14"/>
        <v>-7.7755033054187912</v>
      </c>
      <c r="L1171" s="3">
        <f t="shared" si="15"/>
        <v>-69.267868167534161</v>
      </c>
      <c r="M1171" s="3">
        <f t="shared" si="16"/>
        <v>-13.58298309591499</v>
      </c>
      <c r="N1171" s="3" t="e">
        <f>(-0.25*B1146-#REF!)/0.5</f>
        <v>#REF!</v>
      </c>
      <c r="O1171" s="3" t="e">
        <f>#REF!/#REF!</f>
        <v>#REF!</v>
      </c>
      <c r="P1171" s="3" t="e">
        <f>-0.5*B1146-#REF!</f>
        <v>#REF!</v>
      </c>
    </row>
    <row r="1172" spans="10:16" x14ac:dyDescent="0.25">
      <c r="J1172" s="3">
        <f t="shared" si="13"/>
        <v>-16.840292660104293</v>
      </c>
      <c r="K1172" s="3">
        <f t="shared" si="14"/>
        <v>-7.7755033054187912</v>
      </c>
      <c r="L1172" s="3">
        <f t="shared" si="15"/>
        <v>-69.267868167534161</v>
      </c>
      <c r="M1172" s="3">
        <f t="shared" si="16"/>
        <v>-13.58298309591499</v>
      </c>
      <c r="N1172" s="3" t="e">
        <f>(-0.25*B1147-#REF!)/0.5</f>
        <v>#REF!</v>
      </c>
      <c r="O1172" s="3" t="e">
        <f>#REF!/#REF!</f>
        <v>#REF!</v>
      </c>
      <c r="P1172" s="3" t="e">
        <f>-0.5*B1147-#REF!</f>
        <v>#REF!</v>
      </c>
    </row>
    <row r="1173" spans="10:16" x14ac:dyDescent="0.25">
      <c r="J1173" s="3">
        <f t="shared" si="13"/>
        <v>-16.840292660104293</v>
      </c>
      <c r="K1173" s="3">
        <f t="shared" si="14"/>
        <v>-7.7755033054187912</v>
      </c>
      <c r="L1173" s="3">
        <f t="shared" si="15"/>
        <v>-69.267868167534161</v>
      </c>
      <c r="M1173" s="3">
        <f t="shared" si="16"/>
        <v>-13.58298309591499</v>
      </c>
      <c r="N1173" s="3" t="e">
        <f>(-0.25*B1148-#REF!)/0.5</f>
        <v>#REF!</v>
      </c>
      <c r="O1173" s="3" t="e">
        <f>#REF!/#REF!</f>
        <v>#REF!</v>
      </c>
      <c r="P1173" s="3" t="e">
        <f>-0.5*B1148-#REF!</f>
        <v>#REF!</v>
      </c>
    </row>
    <row r="1174" spans="10:16" x14ac:dyDescent="0.25">
      <c r="J1174" s="3">
        <f t="shared" si="13"/>
        <v>-16.840292660104293</v>
      </c>
      <c r="K1174" s="3">
        <f t="shared" si="14"/>
        <v>-7.7755033054187912</v>
      </c>
      <c r="L1174" s="3">
        <f t="shared" si="15"/>
        <v>-69.267868167534161</v>
      </c>
      <c r="M1174" s="3">
        <f t="shared" si="16"/>
        <v>-13.58298309591499</v>
      </c>
      <c r="N1174" s="3" t="e">
        <f>(-0.25*B1149-#REF!)/0.5</f>
        <v>#REF!</v>
      </c>
      <c r="O1174" s="3" t="e">
        <f>#REF!/#REF!</f>
        <v>#REF!</v>
      </c>
      <c r="P1174" s="3" t="e">
        <f>-0.5*B1149-#REF!</f>
        <v>#REF!</v>
      </c>
    </row>
    <row r="1175" spans="10:16" x14ac:dyDescent="0.25">
      <c r="J1175" s="3">
        <f t="shared" si="13"/>
        <v>-16.840292660104293</v>
      </c>
      <c r="K1175" s="3">
        <f t="shared" si="14"/>
        <v>-7.7755033054187912</v>
      </c>
      <c r="L1175" s="3">
        <f t="shared" si="15"/>
        <v>-69.267868167534161</v>
      </c>
      <c r="M1175" s="3">
        <f t="shared" si="16"/>
        <v>-13.58298309591499</v>
      </c>
      <c r="N1175" s="3" t="e">
        <f>(-0.25*B1150-#REF!)/0.5</f>
        <v>#REF!</v>
      </c>
      <c r="O1175" s="3" t="e">
        <f>#REF!/#REF!</f>
        <v>#REF!</v>
      </c>
      <c r="P1175" s="3" t="e">
        <f>-0.5*B1150-#REF!</f>
        <v>#REF!</v>
      </c>
    </row>
    <row r="1176" spans="10:16" x14ac:dyDescent="0.25">
      <c r="J1176" s="3">
        <f t="shared" si="13"/>
        <v>-16.840292660104293</v>
      </c>
      <c r="K1176" s="3">
        <f t="shared" si="14"/>
        <v>-7.7755033054187912</v>
      </c>
      <c r="L1176" s="3">
        <f t="shared" si="15"/>
        <v>-69.267868167534161</v>
      </c>
      <c r="M1176" s="3">
        <f t="shared" si="16"/>
        <v>-13.58298309591499</v>
      </c>
      <c r="N1176" s="3" t="e">
        <f>(-0.25*B1151-#REF!)/0.5</f>
        <v>#REF!</v>
      </c>
      <c r="O1176" s="3" t="e">
        <f>#REF!/#REF!</f>
        <v>#REF!</v>
      </c>
      <c r="P1176" s="3" t="e">
        <f>-0.5*B1151-#REF!</f>
        <v>#REF!</v>
      </c>
    </row>
    <row r="1177" spans="10:16" x14ac:dyDescent="0.25">
      <c r="J1177" s="3">
        <f t="shared" si="13"/>
        <v>-16.840292660104293</v>
      </c>
      <c r="K1177" s="3">
        <f t="shared" si="14"/>
        <v>-7.7755033054187912</v>
      </c>
      <c r="L1177" s="3">
        <f t="shared" si="15"/>
        <v>-69.267868167534161</v>
      </c>
      <c r="M1177" s="3">
        <f t="shared" si="16"/>
        <v>-13.58298309591499</v>
      </c>
      <c r="N1177" s="3" t="e">
        <f>(-0.25*B1152-#REF!)/0.5</f>
        <v>#REF!</v>
      </c>
      <c r="O1177" s="3" t="e">
        <f>#REF!/#REF!</f>
        <v>#REF!</v>
      </c>
      <c r="P1177" s="3" t="e">
        <f>-0.5*B1152-#REF!</f>
        <v>#REF!</v>
      </c>
    </row>
    <row r="1178" spans="10:16" x14ac:dyDescent="0.25">
      <c r="J1178" s="3">
        <f t="shared" si="13"/>
        <v>-16.840292660104293</v>
      </c>
      <c r="K1178" s="3">
        <f t="shared" si="14"/>
        <v>-7.7755033054187912</v>
      </c>
      <c r="L1178" s="3">
        <f t="shared" si="15"/>
        <v>-69.267868167534161</v>
      </c>
      <c r="M1178" s="3">
        <f t="shared" si="16"/>
        <v>-13.58298309591499</v>
      </c>
      <c r="N1178" s="3" t="e">
        <f>(-0.25*B1153-#REF!)/0.5</f>
        <v>#REF!</v>
      </c>
      <c r="O1178" s="3" t="e">
        <f>#REF!/#REF!</f>
        <v>#REF!</v>
      </c>
      <c r="P1178" s="3" t="e">
        <f>-0.5*B1153-#REF!</f>
        <v>#REF!</v>
      </c>
    </row>
    <row r="1179" spans="10:16" x14ac:dyDescent="0.25">
      <c r="J1179" s="3">
        <f t="shared" si="13"/>
        <v>-16.840292660104293</v>
      </c>
      <c r="K1179" s="3">
        <f t="shared" si="14"/>
        <v>-7.7755033054187912</v>
      </c>
      <c r="L1179" s="3">
        <f t="shared" si="15"/>
        <v>-69.267868167534161</v>
      </c>
      <c r="M1179" s="3">
        <f t="shared" si="16"/>
        <v>-13.58298309591499</v>
      </c>
      <c r="N1179" s="3" t="e">
        <f>(-0.25*B1154-#REF!)/0.5</f>
        <v>#REF!</v>
      </c>
      <c r="O1179" s="3" t="e">
        <f>#REF!/#REF!</f>
        <v>#REF!</v>
      </c>
      <c r="P1179" s="3" t="e">
        <f>-0.5*B1154-#REF!</f>
        <v>#REF!</v>
      </c>
    </row>
    <row r="1180" spans="10:16" x14ac:dyDescent="0.25">
      <c r="J1180" s="3">
        <f t="shared" si="13"/>
        <v>-16.840292660104293</v>
      </c>
      <c r="K1180" s="3">
        <f t="shared" si="14"/>
        <v>-7.7755033054187912</v>
      </c>
      <c r="L1180" s="3">
        <f t="shared" si="15"/>
        <v>-69.267868167534161</v>
      </c>
      <c r="M1180" s="3">
        <f t="shared" si="16"/>
        <v>-13.58298309591499</v>
      </c>
      <c r="N1180" s="3" t="e">
        <f>(-0.25*B1155-#REF!)/0.5</f>
        <v>#REF!</v>
      </c>
      <c r="O1180" s="3" t="e">
        <f>#REF!/#REF!</f>
        <v>#REF!</v>
      </c>
      <c r="P1180" s="3" t="e">
        <f>-0.5*B1155-#REF!</f>
        <v>#REF!</v>
      </c>
    </row>
    <row r="1181" spans="10:16" x14ac:dyDescent="0.25">
      <c r="J1181" s="3">
        <f t="shared" si="13"/>
        <v>-16.840292660104293</v>
      </c>
      <c r="K1181" s="3">
        <f t="shared" si="14"/>
        <v>-7.7755033054187912</v>
      </c>
      <c r="L1181" s="3">
        <f t="shared" si="15"/>
        <v>-69.267868167534161</v>
      </c>
      <c r="M1181" s="3">
        <f t="shared" si="16"/>
        <v>-13.58298309591499</v>
      </c>
      <c r="N1181" s="3" t="e">
        <f>(-0.25*B1156-#REF!)/0.5</f>
        <v>#REF!</v>
      </c>
      <c r="O1181" s="3" t="e">
        <f>#REF!/#REF!</f>
        <v>#REF!</v>
      </c>
      <c r="P1181" s="3" t="e">
        <f>-0.5*B1156-#REF!</f>
        <v>#REF!</v>
      </c>
    </row>
    <row r="1182" spans="10:16" x14ac:dyDescent="0.25">
      <c r="J1182" s="3">
        <f t="shared" si="13"/>
        <v>-16.840292660104293</v>
      </c>
      <c r="K1182" s="3">
        <f t="shared" si="14"/>
        <v>-7.7755033054187912</v>
      </c>
      <c r="L1182" s="3">
        <f t="shared" si="15"/>
        <v>-69.267868167534161</v>
      </c>
      <c r="M1182" s="3">
        <f t="shared" si="16"/>
        <v>-13.58298309591499</v>
      </c>
      <c r="N1182" s="3" t="e">
        <f>(-0.25*B1157-#REF!)/0.5</f>
        <v>#REF!</v>
      </c>
      <c r="O1182" s="3" t="e">
        <f>#REF!/#REF!</f>
        <v>#REF!</v>
      </c>
      <c r="P1182" s="3" t="e">
        <f>-0.5*B1157-#REF!</f>
        <v>#REF!</v>
      </c>
    </row>
    <row r="1183" spans="10:16" x14ac:dyDescent="0.25">
      <c r="J1183" s="3">
        <f t="shared" si="13"/>
        <v>-16.840292660104293</v>
      </c>
      <c r="K1183" s="3">
        <f t="shared" si="14"/>
        <v>-7.7755033054187912</v>
      </c>
      <c r="L1183" s="3">
        <f t="shared" si="15"/>
        <v>-69.267868167534161</v>
      </c>
      <c r="M1183" s="3">
        <f t="shared" si="16"/>
        <v>-13.58298309591499</v>
      </c>
      <c r="N1183" s="3" t="e">
        <f>(-0.25*B1158-#REF!)/0.5</f>
        <v>#REF!</v>
      </c>
      <c r="O1183" s="3" t="e">
        <f>#REF!/#REF!</f>
        <v>#REF!</v>
      </c>
      <c r="P1183" s="3" t="e">
        <f>-0.5*B1158-#REF!</f>
        <v>#REF!</v>
      </c>
    </row>
    <row r="1184" spans="10:16" x14ac:dyDescent="0.25">
      <c r="J1184" s="3">
        <f t="shared" si="13"/>
        <v>-16.840292660104293</v>
      </c>
      <c r="K1184" s="3">
        <f t="shared" si="14"/>
        <v>-7.7755033054187912</v>
      </c>
      <c r="L1184" s="3">
        <f t="shared" si="15"/>
        <v>-69.267868167534161</v>
      </c>
      <c r="M1184" s="3">
        <f t="shared" si="16"/>
        <v>-13.58298309591499</v>
      </c>
      <c r="N1184" s="3" t="e">
        <f>(-0.25*B1159-#REF!)/0.5</f>
        <v>#REF!</v>
      </c>
      <c r="O1184" s="3" t="e">
        <f>#REF!/#REF!</f>
        <v>#REF!</v>
      </c>
      <c r="P1184" s="3" t="e">
        <f>-0.5*B1159-#REF!</f>
        <v>#REF!</v>
      </c>
    </row>
    <row r="1185" spans="10:16" x14ac:dyDescent="0.25">
      <c r="J1185" s="3">
        <f t="shared" si="13"/>
        <v>-16.840292660104293</v>
      </c>
      <c r="K1185" s="3">
        <f t="shared" si="14"/>
        <v>-7.7755033054187912</v>
      </c>
      <c r="L1185" s="3">
        <f t="shared" si="15"/>
        <v>-69.267868167534161</v>
      </c>
      <c r="M1185" s="3">
        <f t="shared" si="16"/>
        <v>-13.58298309591499</v>
      </c>
      <c r="N1185" s="3" t="e">
        <f>(-0.25*B1160-#REF!)/0.5</f>
        <v>#REF!</v>
      </c>
      <c r="O1185" s="3" t="e">
        <f>#REF!/#REF!</f>
        <v>#REF!</v>
      </c>
      <c r="P1185" s="3" t="e">
        <f>-0.5*B1160-#REF!</f>
        <v>#REF!</v>
      </c>
    </row>
    <row r="1186" spans="10:16" x14ac:dyDescent="0.25">
      <c r="J1186" s="3">
        <f t="shared" si="13"/>
        <v>-16.840292660104293</v>
      </c>
      <c r="K1186" s="3">
        <f t="shared" si="14"/>
        <v>-7.7755033054187912</v>
      </c>
      <c r="L1186" s="3">
        <f t="shared" si="15"/>
        <v>-69.267868167534161</v>
      </c>
      <c r="M1186" s="3">
        <f t="shared" si="16"/>
        <v>-13.58298309591499</v>
      </c>
      <c r="N1186" s="3" t="e">
        <f>(-0.25*B1161-#REF!)/0.5</f>
        <v>#REF!</v>
      </c>
      <c r="O1186" s="3" t="e">
        <f>#REF!/#REF!</f>
        <v>#REF!</v>
      </c>
      <c r="P1186" s="3" t="e">
        <f>-0.5*B1161-#REF!</f>
        <v>#REF!</v>
      </c>
    </row>
    <row r="1187" spans="10:16" x14ac:dyDescent="0.25">
      <c r="J1187" s="3">
        <f t="shared" si="13"/>
        <v>-16.840292660104293</v>
      </c>
      <c r="K1187" s="3">
        <f t="shared" si="14"/>
        <v>-7.7755033054187912</v>
      </c>
      <c r="L1187" s="3">
        <f t="shared" si="15"/>
        <v>-69.267868167534161</v>
      </c>
      <c r="M1187" s="3">
        <f t="shared" si="16"/>
        <v>-13.58298309591499</v>
      </c>
      <c r="N1187" s="3" t="e">
        <f>(-0.25*B1162-#REF!)/0.5</f>
        <v>#REF!</v>
      </c>
      <c r="O1187" s="3" t="e">
        <f>#REF!/#REF!</f>
        <v>#REF!</v>
      </c>
      <c r="P1187" s="3" t="e">
        <f>-0.5*B1162-#REF!</f>
        <v>#REF!</v>
      </c>
    </row>
    <row r="1188" spans="10:16" x14ac:dyDescent="0.25">
      <c r="J1188" s="3">
        <f t="shared" si="13"/>
        <v>-16.840292660104293</v>
      </c>
      <c r="K1188" s="3">
        <f t="shared" si="14"/>
        <v>-7.7755033054187912</v>
      </c>
      <c r="L1188" s="3">
        <f t="shared" si="15"/>
        <v>-69.267868167534161</v>
      </c>
      <c r="M1188" s="3">
        <f t="shared" si="16"/>
        <v>-13.58298309591499</v>
      </c>
      <c r="N1188" s="3" t="e">
        <f>(-0.25*B1163-#REF!)/0.5</f>
        <v>#REF!</v>
      </c>
      <c r="O1188" s="3" t="e">
        <f>#REF!/#REF!</f>
        <v>#REF!</v>
      </c>
      <c r="P1188" s="3" t="e">
        <f>-0.5*B1163-#REF!</f>
        <v>#REF!</v>
      </c>
    </row>
    <row r="1189" spans="10:16" x14ac:dyDescent="0.25">
      <c r="J1189" s="3">
        <f t="shared" si="13"/>
        <v>-16.840292660104293</v>
      </c>
      <c r="K1189" s="3">
        <f t="shared" si="14"/>
        <v>-7.7755033054187912</v>
      </c>
      <c r="L1189" s="3">
        <f t="shared" si="15"/>
        <v>-69.267868167534161</v>
      </c>
      <c r="M1189" s="3">
        <f t="shared" si="16"/>
        <v>-13.58298309591499</v>
      </c>
      <c r="N1189" s="3" t="e">
        <f>(-0.25*B1164-#REF!)/0.5</f>
        <v>#REF!</v>
      </c>
      <c r="O1189" s="3" t="e">
        <f>#REF!/#REF!</f>
        <v>#REF!</v>
      </c>
      <c r="P1189" s="3" t="e">
        <f>-0.5*B1164-#REF!</f>
        <v>#REF!</v>
      </c>
    </row>
    <row r="1190" spans="10:16" x14ac:dyDescent="0.25">
      <c r="J1190" s="3">
        <f t="shared" si="13"/>
        <v>-16.840292660104293</v>
      </c>
      <c r="K1190" s="3">
        <f t="shared" si="14"/>
        <v>-7.7755033054187912</v>
      </c>
      <c r="L1190" s="3">
        <f t="shared" si="15"/>
        <v>-69.267868167534161</v>
      </c>
      <c r="M1190" s="3">
        <f t="shared" si="16"/>
        <v>-13.58298309591499</v>
      </c>
      <c r="N1190" s="3" t="e">
        <f>(-0.25*B1165-#REF!)/0.5</f>
        <v>#REF!</v>
      </c>
      <c r="O1190" s="3" t="e">
        <f>#REF!/#REF!</f>
        <v>#REF!</v>
      </c>
      <c r="P1190" s="3" t="e">
        <f>-0.5*B1165-#REF!</f>
        <v>#REF!</v>
      </c>
    </row>
    <row r="1191" spans="10:16" x14ac:dyDescent="0.25">
      <c r="J1191" s="3">
        <f t="shared" si="13"/>
        <v>-16.840292660104293</v>
      </c>
      <c r="K1191" s="3">
        <f t="shared" si="14"/>
        <v>-7.7755033054187912</v>
      </c>
      <c r="L1191" s="3">
        <f t="shared" si="15"/>
        <v>-69.267868167534161</v>
      </c>
      <c r="M1191" s="3">
        <f t="shared" si="16"/>
        <v>-13.58298309591499</v>
      </c>
      <c r="N1191" s="3" t="e">
        <f>(-0.25*B1166-#REF!)/0.5</f>
        <v>#REF!</v>
      </c>
      <c r="O1191" s="3" t="e">
        <f>#REF!/#REF!</f>
        <v>#REF!</v>
      </c>
      <c r="P1191" s="3" t="e">
        <f>-0.5*B1166-#REF!</f>
        <v>#REF!</v>
      </c>
    </row>
    <row r="1192" spans="10:16" x14ac:dyDescent="0.25">
      <c r="J1192" s="3">
        <f t="shared" si="13"/>
        <v>-16.840292660104293</v>
      </c>
      <c r="K1192" s="3">
        <f t="shared" si="14"/>
        <v>-7.7755033054187912</v>
      </c>
      <c r="L1192" s="3">
        <f t="shared" si="15"/>
        <v>-69.267868167534161</v>
      </c>
      <c r="M1192" s="3">
        <f t="shared" si="16"/>
        <v>-13.58298309591499</v>
      </c>
      <c r="N1192" s="3" t="e">
        <f>(-0.25*B1167-#REF!)/0.5</f>
        <v>#REF!</v>
      </c>
      <c r="O1192" s="3" t="e">
        <f>#REF!/#REF!</f>
        <v>#REF!</v>
      </c>
      <c r="P1192" s="3" t="e">
        <f>-0.5*B1167-#REF!</f>
        <v>#REF!</v>
      </c>
    </row>
    <row r="1193" spans="10:16" x14ac:dyDescent="0.25">
      <c r="J1193" s="3">
        <f t="shared" si="13"/>
        <v>-16.840292660104293</v>
      </c>
      <c r="K1193" s="3">
        <f t="shared" si="14"/>
        <v>-7.7755033054187912</v>
      </c>
      <c r="L1193" s="3">
        <f t="shared" si="15"/>
        <v>-69.267868167534161</v>
      </c>
      <c r="M1193" s="3">
        <f t="shared" si="16"/>
        <v>-13.58298309591499</v>
      </c>
      <c r="N1193" s="3" t="e">
        <f>(-0.25*B1168-#REF!)/0.5</f>
        <v>#REF!</v>
      </c>
      <c r="O1193" s="3" t="e">
        <f>#REF!/#REF!</f>
        <v>#REF!</v>
      </c>
      <c r="P1193" s="3" t="e">
        <f>-0.5*B1168-#REF!</f>
        <v>#REF!</v>
      </c>
    </row>
    <row r="1194" spans="10:16" x14ac:dyDescent="0.25">
      <c r="J1194" s="3">
        <f t="shared" si="13"/>
        <v>-16.840292660104293</v>
      </c>
      <c r="K1194" s="3">
        <f t="shared" si="14"/>
        <v>-7.7755033054187912</v>
      </c>
      <c r="L1194" s="3">
        <f t="shared" si="15"/>
        <v>-69.267868167534161</v>
      </c>
      <c r="M1194" s="3">
        <f t="shared" si="16"/>
        <v>-13.58298309591499</v>
      </c>
      <c r="N1194" s="3" t="e">
        <f>(-0.25*B1169-#REF!)/0.5</f>
        <v>#REF!</v>
      </c>
      <c r="O1194" s="3" t="e">
        <f>#REF!/#REF!</f>
        <v>#REF!</v>
      </c>
      <c r="P1194" s="3" t="e">
        <f>-0.5*B1169-#REF!</f>
        <v>#REF!</v>
      </c>
    </row>
    <row r="1195" spans="10:16" x14ac:dyDescent="0.25">
      <c r="J1195" s="3">
        <f t="shared" si="13"/>
        <v>-16.840292660104293</v>
      </c>
      <c r="K1195" s="3">
        <f t="shared" si="14"/>
        <v>-7.7755033054187912</v>
      </c>
      <c r="L1195" s="3">
        <f t="shared" si="15"/>
        <v>-69.267868167534161</v>
      </c>
      <c r="M1195" s="3">
        <f t="shared" si="16"/>
        <v>-13.58298309591499</v>
      </c>
      <c r="N1195" s="3" t="e">
        <f>(-0.25*B1170-#REF!)/0.5</f>
        <v>#REF!</v>
      </c>
      <c r="O1195" s="3" t="e">
        <f>#REF!/#REF!</f>
        <v>#REF!</v>
      </c>
      <c r="P1195" s="3" t="e">
        <f>-0.5*B1170-#REF!</f>
        <v>#REF!</v>
      </c>
    </row>
    <row r="1196" spans="10:16" x14ac:dyDescent="0.25">
      <c r="J1196" s="3">
        <f t="shared" si="13"/>
        <v>-16.840292660104293</v>
      </c>
      <c r="K1196" s="3">
        <f t="shared" si="14"/>
        <v>-7.7755033054187912</v>
      </c>
      <c r="L1196" s="3">
        <f t="shared" si="15"/>
        <v>-69.267868167534161</v>
      </c>
      <c r="M1196" s="3">
        <f t="shared" si="16"/>
        <v>-13.58298309591499</v>
      </c>
      <c r="N1196" s="3" t="e">
        <f>(-0.25*B1171-#REF!)/0.5</f>
        <v>#REF!</v>
      </c>
      <c r="O1196" s="3" t="e">
        <f>#REF!/#REF!</f>
        <v>#REF!</v>
      </c>
      <c r="P1196" s="3" t="e">
        <f>-0.5*B1171-#REF!</f>
        <v>#REF!</v>
      </c>
    </row>
    <row r="1197" spans="10:16" x14ac:dyDescent="0.25">
      <c r="J1197" s="3">
        <f t="shared" si="13"/>
        <v>-16.840292660104293</v>
      </c>
      <c r="K1197" s="3">
        <f t="shared" si="14"/>
        <v>-7.7755033054187912</v>
      </c>
      <c r="L1197" s="3">
        <f t="shared" si="15"/>
        <v>-69.267868167534161</v>
      </c>
      <c r="M1197" s="3">
        <f t="shared" si="16"/>
        <v>-13.58298309591499</v>
      </c>
      <c r="N1197" s="3" t="e">
        <f>(-0.25*B1172-#REF!)/0.5</f>
        <v>#REF!</v>
      </c>
      <c r="O1197" s="3" t="e">
        <f>#REF!/#REF!</f>
        <v>#REF!</v>
      </c>
      <c r="P1197" s="3" t="e">
        <f>-0.5*B1172-#REF!</f>
        <v>#REF!</v>
      </c>
    </row>
    <row r="1198" spans="10:16" x14ac:dyDescent="0.25">
      <c r="J1198" s="3">
        <f t="shared" si="13"/>
        <v>-16.840292660104293</v>
      </c>
      <c r="K1198" s="3">
        <f t="shared" si="14"/>
        <v>-7.7755033054187912</v>
      </c>
      <c r="L1198" s="3">
        <f t="shared" si="15"/>
        <v>-69.267868167534161</v>
      </c>
      <c r="M1198" s="3">
        <f t="shared" si="16"/>
        <v>-13.58298309591499</v>
      </c>
      <c r="N1198" s="3" t="e">
        <f>(-0.25*B1173-#REF!)/0.5</f>
        <v>#REF!</v>
      </c>
      <c r="O1198" s="3" t="e">
        <f>#REF!/#REF!</f>
        <v>#REF!</v>
      </c>
      <c r="P1198" s="3" t="e">
        <f>-0.5*B1173-#REF!</f>
        <v>#REF!</v>
      </c>
    </row>
    <row r="1199" spans="10:16" x14ac:dyDescent="0.25">
      <c r="J1199" s="3">
        <f t="shared" si="13"/>
        <v>-16.840292660104293</v>
      </c>
      <c r="K1199" s="3">
        <f t="shared" si="14"/>
        <v>-7.7755033054187912</v>
      </c>
      <c r="L1199" s="3">
        <f t="shared" si="15"/>
        <v>-69.267868167534161</v>
      </c>
      <c r="M1199" s="3">
        <f t="shared" si="16"/>
        <v>-13.58298309591499</v>
      </c>
      <c r="N1199" s="3" t="e">
        <f>(-0.25*B1174-#REF!)/0.5</f>
        <v>#REF!</v>
      </c>
      <c r="O1199" s="3" t="e">
        <f>#REF!/#REF!</f>
        <v>#REF!</v>
      </c>
      <c r="P1199" s="3" t="e">
        <f>-0.5*B1174-#REF!</f>
        <v>#REF!</v>
      </c>
    </row>
    <row r="1200" spans="10:16" x14ac:dyDescent="0.25">
      <c r="J1200" s="3">
        <f t="shared" si="13"/>
        <v>-16.840292660104293</v>
      </c>
      <c r="K1200" s="3">
        <f t="shared" si="14"/>
        <v>-7.7755033054187912</v>
      </c>
      <c r="L1200" s="3">
        <f t="shared" si="15"/>
        <v>-69.267868167534161</v>
      </c>
      <c r="M1200" s="3">
        <f t="shared" si="16"/>
        <v>-13.58298309591499</v>
      </c>
      <c r="N1200" s="3" t="e">
        <f>(-0.25*B1175-#REF!)/0.5</f>
        <v>#REF!</v>
      </c>
      <c r="O1200" s="3" t="e">
        <f>#REF!/#REF!</f>
        <v>#REF!</v>
      </c>
      <c r="P1200" s="3" t="e">
        <f>-0.5*B1175-#REF!</f>
        <v>#REF!</v>
      </c>
    </row>
    <row r="1201" spans="10:16" x14ac:dyDescent="0.25">
      <c r="J1201" s="3">
        <f t="shared" si="13"/>
        <v>-16.840292660104293</v>
      </c>
      <c r="K1201" s="3">
        <f t="shared" si="14"/>
        <v>-7.7755033054187912</v>
      </c>
      <c r="L1201" s="3">
        <f t="shared" si="15"/>
        <v>-69.267868167534161</v>
      </c>
      <c r="M1201" s="3">
        <f t="shared" si="16"/>
        <v>-13.58298309591499</v>
      </c>
      <c r="N1201" s="3" t="e">
        <f>(-0.25*B1176-#REF!)/0.5</f>
        <v>#REF!</v>
      </c>
      <c r="O1201" s="3" t="e">
        <f>#REF!/#REF!</f>
        <v>#REF!</v>
      </c>
      <c r="P1201" s="3" t="e">
        <f>-0.5*B1176-#REF!</f>
        <v>#REF!</v>
      </c>
    </row>
    <row r="1202" spans="10:16" x14ac:dyDescent="0.25">
      <c r="J1202" s="3">
        <f t="shared" si="13"/>
        <v>-16.840292660104293</v>
      </c>
      <c r="K1202" s="3">
        <f t="shared" si="14"/>
        <v>-7.7755033054187912</v>
      </c>
      <c r="L1202" s="3">
        <f t="shared" si="15"/>
        <v>-69.267868167534161</v>
      </c>
      <c r="M1202" s="3">
        <f t="shared" si="16"/>
        <v>-13.58298309591499</v>
      </c>
      <c r="N1202" s="3" t="e">
        <f>(-0.25*B1177-#REF!)/0.5</f>
        <v>#REF!</v>
      </c>
      <c r="O1202" s="3" t="e">
        <f>#REF!/#REF!</f>
        <v>#REF!</v>
      </c>
      <c r="P1202" s="3" t="e">
        <f>-0.5*B1177-#REF!</f>
        <v>#REF!</v>
      </c>
    </row>
    <row r="1203" spans="10:16" x14ac:dyDescent="0.25">
      <c r="J1203" s="3">
        <f t="shared" si="13"/>
        <v>-16.840292660104293</v>
      </c>
      <c r="K1203" s="3">
        <f t="shared" si="14"/>
        <v>-7.7755033054187912</v>
      </c>
      <c r="L1203" s="3">
        <f t="shared" si="15"/>
        <v>-69.267868167534161</v>
      </c>
      <c r="M1203" s="3">
        <f t="shared" si="16"/>
        <v>-13.58298309591499</v>
      </c>
      <c r="N1203" s="3" t="e">
        <f>(-0.25*B1178-#REF!)/0.5</f>
        <v>#REF!</v>
      </c>
      <c r="O1203" s="3" t="e">
        <f>#REF!/#REF!</f>
        <v>#REF!</v>
      </c>
      <c r="P1203" s="3" t="e">
        <f>-0.5*B1178-#REF!</f>
        <v>#REF!</v>
      </c>
    </row>
    <row r="1204" spans="10:16" x14ac:dyDescent="0.25">
      <c r="J1204" s="3">
        <f t="shared" si="13"/>
        <v>-16.840292660104293</v>
      </c>
      <c r="K1204" s="3">
        <f t="shared" si="14"/>
        <v>-7.7755033054187912</v>
      </c>
      <c r="L1204" s="3">
        <f t="shared" si="15"/>
        <v>-69.267868167534161</v>
      </c>
      <c r="M1204" s="3">
        <f t="shared" si="16"/>
        <v>-13.58298309591499</v>
      </c>
      <c r="N1204" s="3" t="e">
        <f>(-0.25*B1179-#REF!)/0.5</f>
        <v>#REF!</v>
      </c>
      <c r="O1204" s="3" t="e">
        <f>#REF!/#REF!</f>
        <v>#REF!</v>
      </c>
      <c r="P1204" s="3" t="e">
        <f>-0.5*B1179-#REF!</f>
        <v>#REF!</v>
      </c>
    </row>
    <row r="1205" spans="10:16" x14ac:dyDescent="0.25">
      <c r="J1205" s="3">
        <f t="shared" si="13"/>
        <v>-16.840292660104293</v>
      </c>
      <c r="K1205" s="3">
        <f t="shared" si="14"/>
        <v>-7.7755033054187912</v>
      </c>
      <c r="L1205" s="3">
        <f t="shared" si="15"/>
        <v>-69.267868167534161</v>
      </c>
      <c r="M1205" s="3">
        <f t="shared" si="16"/>
        <v>-13.58298309591499</v>
      </c>
      <c r="N1205" s="3" t="e">
        <f>(-0.25*B1180-#REF!)/0.5</f>
        <v>#REF!</v>
      </c>
      <c r="O1205" s="3" t="e">
        <f>#REF!/#REF!</f>
        <v>#REF!</v>
      </c>
      <c r="P1205" s="3" t="e">
        <f>-0.5*B1180-#REF!</f>
        <v>#REF!</v>
      </c>
    </row>
    <row r="1206" spans="10:16" x14ac:dyDescent="0.25">
      <c r="J1206" s="3">
        <f t="shared" si="13"/>
        <v>-16.840292660104293</v>
      </c>
      <c r="K1206" s="3">
        <f t="shared" si="14"/>
        <v>-7.7755033054187912</v>
      </c>
      <c r="L1206" s="3">
        <f t="shared" si="15"/>
        <v>-69.267868167534161</v>
      </c>
      <c r="M1206" s="3">
        <f t="shared" si="16"/>
        <v>-13.58298309591499</v>
      </c>
      <c r="N1206" s="3" t="e">
        <f>(-0.25*B1181-#REF!)/0.5</f>
        <v>#REF!</v>
      </c>
      <c r="O1206" s="3" t="e">
        <f>#REF!/#REF!</f>
        <v>#REF!</v>
      </c>
      <c r="P1206" s="3" t="e">
        <f>-0.5*B1181-#REF!</f>
        <v>#REF!</v>
      </c>
    </row>
    <row r="1207" spans="10:16" x14ac:dyDescent="0.25">
      <c r="J1207" s="3">
        <f t="shared" si="13"/>
        <v>-16.840292660104293</v>
      </c>
      <c r="K1207" s="3">
        <f t="shared" si="14"/>
        <v>-7.7755033054187912</v>
      </c>
      <c r="L1207" s="3">
        <f t="shared" si="15"/>
        <v>-69.267868167534161</v>
      </c>
      <c r="M1207" s="3">
        <f t="shared" si="16"/>
        <v>-13.58298309591499</v>
      </c>
      <c r="N1207" s="3" t="e">
        <f>(-0.25*B1182-#REF!)/0.5</f>
        <v>#REF!</v>
      </c>
      <c r="O1207" s="3" t="e">
        <f>#REF!/#REF!</f>
        <v>#REF!</v>
      </c>
      <c r="P1207" s="3" t="e">
        <f>-0.5*B1182-#REF!</f>
        <v>#REF!</v>
      </c>
    </row>
    <row r="1208" spans="10:16" x14ac:dyDescent="0.25">
      <c r="J1208" s="3">
        <f t="shared" si="13"/>
        <v>-16.840292660104293</v>
      </c>
      <c r="K1208" s="3">
        <f t="shared" si="14"/>
        <v>-7.7755033054187912</v>
      </c>
      <c r="L1208" s="3">
        <f t="shared" si="15"/>
        <v>-69.267868167534161</v>
      </c>
      <c r="M1208" s="3">
        <f t="shared" si="16"/>
        <v>-13.58298309591499</v>
      </c>
      <c r="N1208" s="3" t="e">
        <f>(-0.25*B1183-#REF!)/0.5</f>
        <v>#REF!</v>
      </c>
      <c r="O1208" s="3" t="e">
        <f>#REF!/#REF!</f>
        <v>#REF!</v>
      </c>
      <c r="P1208" s="3" t="e">
        <f>-0.5*B1183-#REF!</f>
        <v>#REF!</v>
      </c>
    </row>
    <row r="1209" spans="10:16" x14ac:dyDescent="0.25">
      <c r="J1209" s="3">
        <f t="shared" ref="J1209:J1272" si="17">$AC$16-B1184</f>
        <v>-16.840292660104293</v>
      </c>
      <c r="K1209" s="3">
        <f t="shared" ref="K1209:K1272" si="18">-0.5*B1184-$AC$17</f>
        <v>-7.7755033054187912</v>
      </c>
      <c r="L1209" s="3">
        <f t="shared" ref="L1209:L1272" si="19">-0.75*B1184-$AC$18</f>
        <v>-69.267868167534161</v>
      </c>
      <c r="M1209" s="3">
        <f t="shared" ref="M1209:M1272" si="20">-B1184-$AC$19</f>
        <v>-13.58298309591499</v>
      </c>
      <c r="N1209" s="3" t="e">
        <f>(-0.25*B1184-#REF!)/0.5</f>
        <v>#REF!</v>
      </c>
      <c r="O1209" s="3" t="e">
        <f>#REF!/#REF!</f>
        <v>#REF!</v>
      </c>
      <c r="P1209" s="3" t="e">
        <f>-0.5*B1184-#REF!</f>
        <v>#REF!</v>
      </c>
    </row>
    <row r="1210" spans="10:16" x14ac:dyDescent="0.25">
      <c r="J1210" s="3">
        <f t="shared" si="17"/>
        <v>-16.840292660104293</v>
      </c>
      <c r="K1210" s="3">
        <f t="shared" si="18"/>
        <v>-7.7755033054187912</v>
      </c>
      <c r="L1210" s="3">
        <f t="shared" si="19"/>
        <v>-69.267868167534161</v>
      </c>
      <c r="M1210" s="3">
        <f t="shared" si="20"/>
        <v>-13.58298309591499</v>
      </c>
      <c r="N1210" s="3" t="e">
        <f>(-0.25*B1185-#REF!)/0.5</f>
        <v>#REF!</v>
      </c>
      <c r="O1210" s="3" t="e">
        <f>#REF!/#REF!</f>
        <v>#REF!</v>
      </c>
      <c r="P1210" s="3" t="e">
        <f>-0.5*B1185-#REF!</f>
        <v>#REF!</v>
      </c>
    </row>
    <row r="1211" spans="10:16" x14ac:dyDescent="0.25">
      <c r="J1211" s="3">
        <f t="shared" si="17"/>
        <v>-16.840292660104293</v>
      </c>
      <c r="K1211" s="3">
        <f t="shared" si="18"/>
        <v>-7.7755033054187912</v>
      </c>
      <c r="L1211" s="3">
        <f t="shared" si="19"/>
        <v>-69.267868167534161</v>
      </c>
      <c r="M1211" s="3">
        <f t="shared" si="20"/>
        <v>-13.58298309591499</v>
      </c>
      <c r="N1211" s="3" t="e">
        <f>(-0.25*B1186-#REF!)/0.5</f>
        <v>#REF!</v>
      </c>
      <c r="O1211" s="3" t="e">
        <f>#REF!/#REF!</f>
        <v>#REF!</v>
      </c>
      <c r="P1211" s="3" t="e">
        <f>-0.5*B1186-#REF!</f>
        <v>#REF!</v>
      </c>
    </row>
    <row r="1212" spans="10:16" x14ac:dyDescent="0.25">
      <c r="J1212" s="3">
        <f t="shared" si="17"/>
        <v>-16.840292660104293</v>
      </c>
      <c r="K1212" s="3">
        <f t="shared" si="18"/>
        <v>-7.7755033054187912</v>
      </c>
      <c r="L1212" s="3">
        <f t="shared" si="19"/>
        <v>-69.267868167534161</v>
      </c>
      <c r="M1212" s="3">
        <f t="shared" si="20"/>
        <v>-13.58298309591499</v>
      </c>
      <c r="N1212" s="3" t="e">
        <f>(-0.25*B1187-#REF!)/0.5</f>
        <v>#REF!</v>
      </c>
      <c r="O1212" s="3" t="e">
        <f>#REF!/#REF!</f>
        <v>#REF!</v>
      </c>
      <c r="P1212" s="3" t="e">
        <f>-0.5*B1187-#REF!</f>
        <v>#REF!</v>
      </c>
    </row>
    <row r="1213" spans="10:16" x14ac:dyDescent="0.25">
      <c r="J1213" s="3">
        <f t="shared" si="17"/>
        <v>-16.840292660104293</v>
      </c>
      <c r="K1213" s="3">
        <f t="shared" si="18"/>
        <v>-7.7755033054187912</v>
      </c>
      <c r="L1213" s="3">
        <f t="shared" si="19"/>
        <v>-69.267868167534161</v>
      </c>
      <c r="M1213" s="3">
        <f t="shared" si="20"/>
        <v>-13.58298309591499</v>
      </c>
      <c r="N1213" s="3" t="e">
        <f>(-0.25*B1188-#REF!)/0.5</f>
        <v>#REF!</v>
      </c>
      <c r="O1213" s="3" t="e">
        <f>#REF!/#REF!</f>
        <v>#REF!</v>
      </c>
      <c r="P1213" s="3" t="e">
        <f>-0.5*B1188-#REF!</f>
        <v>#REF!</v>
      </c>
    </row>
    <row r="1214" spans="10:16" x14ac:dyDescent="0.25">
      <c r="J1214" s="3">
        <f t="shared" si="17"/>
        <v>-16.840292660104293</v>
      </c>
      <c r="K1214" s="3">
        <f t="shared" si="18"/>
        <v>-7.7755033054187912</v>
      </c>
      <c r="L1214" s="3">
        <f t="shared" si="19"/>
        <v>-69.267868167534161</v>
      </c>
      <c r="M1214" s="3">
        <f t="shared" si="20"/>
        <v>-13.58298309591499</v>
      </c>
      <c r="N1214" s="3" t="e">
        <f>(-0.25*B1189-#REF!)/0.5</f>
        <v>#REF!</v>
      </c>
      <c r="O1214" s="3" t="e">
        <f>#REF!/#REF!</f>
        <v>#REF!</v>
      </c>
      <c r="P1214" s="3" t="e">
        <f>-0.5*B1189-#REF!</f>
        <v>#REF!</v>
      </c>
    </row>
    <row r="1215" spans="10:16" x14ac:dyDescent="0.25">
      <c r="J1215" s="3">
        <f t="shared" si="17"/>
        <v>-16.840292660104293</v>
      </c>
      <c r="K1215" s="3">
        <f t="shared" si="18"/>
        <v>-7.7755033054187912</v>
      </c>
      <c r="L1215" s="3">
        <f t="shared" si="19"/>
        <v>-69.267868167534161</v>
      </c>
      <c r="M1215" s="3">
        <f t="shared" si="20"/>
        <v>-13.58298309591499</v>
      </c>
      <c r="N1215" s="3" t="e">
        <f>(-0.25*B1190-#REF!)/0.5</f>
        <v>#REF!</v>
      </c>
      <c r="O1215" s="3" t="e">
        <f>#REF!/#REF!</f>
        <v>#REF!</v>
      </c>
      <c r="P1215" s="3" t="e">
        <f>-0.5*B1190-#REF!</f>
        <v>#REF!</v>
      </c>
    </row>
    <row r="1216" spans="10:16" x14ac:dyDescent="0.25">
      <c r="J1216" s="3">
        <f t="shared" si="17"/>
        <v>-16.840292660104293</v>
      </c>
      <c r="K1216" s="3">
        <f t="shared" si="18"/>
        <v>-7.7755033054187912</v>
      </c>
      <c r="L1216" s="3">
        <f t="shared" si="19"/>
        <v>-69.267868167534161</v>
      </c>
      <c r="M1216" s="3">
        <f t="shared" si="20"/>
        <v>-13.58298309591499</v>
      </c>
      <c r="N1216" s="3" t="e">
        <f>(-0.25*B1191-#REF!)/0.5</f>
        <v>#REF!</v>
      </c>
      <c r="O1216" s="3" t="e">
        <f>#REF!/#REF!</f>
        <v>#REF!</v>
      </c>
      <c r="P1216" s="3" t="e">
        <f>-0.5*B1191-#REF!</f>
        <v>#REF!</v>
      </c>
    </row>
    <row r="1217" spans="10:16" x14ac:dyDescent="0.25">
      <c r="J1217" s="3">
        <f t="shared" si="17"/>
        <v>-16.840292660104293</v>
      </c>
      <c r="K1217" s="3">
        <f t="shared" si="18"/>
        <v>-7.7755033054187912</v>
      </c>
      <c r="L1217" s="3">
        <f t="shared" si="19"/>
        <v>-69.267868167534161</v>
      </c>
      <c r="M1217" s="3">
        <f t="shared" si="20"/>
        <v>-13.58298309591499</v>
      </c>
      <c r="N1217" s="3" t="e">
        <f>(-0.25*B1192-#REF!)/0.5</f>
        <v>#REF!</v>
      </c>
      <c r="O1217" s="3" t="e">
        <f>#REF!/#REF!</f>
        <v>#REF!</v>
      </c>
      <c r="P1217" s="3" t="e">
        <f>-0.5*B1192-#REF!</f>
        <v>#REF!</v>
      </c>
    </row>
    <row r="1218" spans="10:16" x14ac:dyDescent="0.25">
      <c r="J1218" s="3">
        <f t="shared" si="17"/>
        <v>-16.840292660104293</v>
      </c>
      <c r="K1218" s="3">
        <f t="shared" si="18"/>
        <v>-7.7755033054187912</v>
      </c>
      <c r="L1218" s="3">
        <f t="shared" si="19"/>
        <v>-69.267868167534161</v>
      </c>
      <c r="M1218" s="3">
        <f t="shared" si="20"/>
        <v>-13.58298309591499</v>
      </c>
      <c r="N1218" s="3" t="e">
        <f>(-0.25*B1193-#REF!)/0.5</f>
        <v>#REF!</v>
      </c>
      <c r="O1218" s="3" t="e">
        <f>#REF!/#REF!</f>
        <v>#REF!</v>
      </c>
      <c r="P1218" s="3" t="e">
        <f>-0.5*B1193-#REF!</f>
        <v>#REF!</v>
      </c>
    </row>
    <row r="1219" spans="10:16" x14ac:dyDescent="0.25">
      <c r="J1219" s="3">
        <f t="shared" si="17"/>
        <v>-16.840292660104293</v>
      </c>
      <c r="K1219" s="3">
        <f t="shared" si="18"/>
        <v>-7.7755033054187912</v>
      </c>
      <c r="L1219" s="3">
        <f t="shared" si="19"/>
        <v>-69.267868167534161</v>
      </c>
      <c r="M1219" s="3">
        <f t="shared" si="20"/>
        <v>-13.58298309591499</v>
      </c>
      <c r="N1219" s="3" t="e">
        <f>(-0.25*B1194-#REF!)/0.5</f>
        <v>#REF!</v>
      </c>
      <c r="O1219" s="3" t="e">
        <f>#REF!/#REF!</f>
        <v>#REF!</v>
      </c>
      <c r="P1219" s="3" t="e">
        <f>-0.5*B1194-#REF!</f>
        <v>#REF!</v>
      </c>
    </row>
    <row r="1220" spans="10:16" x14ac:dyDescent="0.25">
      <c r="J1220" s="3">
        <f t="shared" si="17"/>
        <v>-16.840292660104293</v>
      </c>
      <c r="K1220" s="3">
        <f t="shared" si="18"/>
        <v>-7.7755033054187912</v>
      </c>
      <c r="L1220" s="3">
        <f t="shared" si="19"/>
        <v>-69.267868167534161</v>
      </c>
      <c r="M1220" s="3">
        <f t="shared" si="20"/>
        <v>-13.58298309591499</v>
      </c>
      <c r="N1220" s="3" t="e">
        <f>(-0.25*B1195-#REF!)/0.5</f>
        <v>#REF!</v>
      </c>
      <c r="O1220" s="3" t="e">
        <f>#REF!/#REF!</f>
        <v>#REF!</v>
      </c>
      <c r="P1220" s="3" t="e">
        <f>-0.5*B1195-#REF!</f>
        <v>#REF!</v>
      </c>
    </row>
    <row r="1221" spans="10:16" x14ac:dyDescent="0.25">
      <c r="J1221" s="3">
        <f t="shared" si="17"/>
        <v>-16.840292660104293</v>
      </c>
      <c r="K1221" s="3">
        <f t="shared" si="18"/>
        <v>-7.7755033054187912</v>
      </c>
      <c r="L1221" s="3">
        <f t="shared" si="19"/>
        <v>-69.267868167534161</v>
      </c>
      <c r="M1221" s="3">
        <f t="shared" si="20"/>
        <v>-13.58298309591499</v>
      </c>
      <c r="N1221" s="3" t="e">
        <f>(-0.25*B1196-#REF!)/0.5</f>
        <v>#REF!</v>
      </c>
      <c r="O1221" s="3" t="e">
        <f>#REF!/#REF!</f>
        <v>#REF!</v>
      </c>
      <c r="P1221" s="3" t="e">
        <f>-0.5*B1196-#REF!</f>
        <v>#REF!</v>
      </c>
    </row>
    <row r="1222" spans="10:16" x14ac:dyDescent="0.25">
      <c r="J1222" s="3">
        <f t="shared" si="17"/>
        <v>-16.840292660104293</v>
      </c>
      <c r="K1222" s="3">
        <f t="shared" si="18"/>
        <v>-7.7755033054187912</v>
      </c>
      <c r="L1222" s="3">
        <f t="shared" si="19"/>
        <v>-69.267868167534161</v>
      </c>
      <c r="M1222" s="3">
        <f t="shared" si="20"/>
        <v>-13.58298309591499</v>
      </c>
      <c r="N1222" s="3" t="e">
        <f>(-0.25*B1197-#REF!)/0.5</f>
        <v>#REF!</v>
      </c>
      <c r="O1222" s="3" t="e">
        <f>#REF!/#REF!</f>
        <v>#REF!</v>
      </c>
      <c r="P1222" s="3" t="e">
        <f>-0.5*B1197-#REF!</f>
        <v>#REF!</v>
      </c>
    </row>
    <row r="1223" spans="10:16" x14ac:dyDescent="0.25">
      <c r="J1223" s="3">
        <f t="shared" si="17"/>
        <v>-16.840292660104293</v>
      </c>
      <c r="K1223" s="3">
        <f t="shared" si="18"/>
        <v>-7.7755033054187912</v>
      </c>
      <c r="L1223" s="3">
        <f t="shared" si="19"/>
        <v>-69.267868167534161</v>
      </c>
      <c r="M1223" s="3">
        <f t="shared" si="20"/>
        <v>-13.58298309591499</v>
      </c>
      <c r="N1223" s="3" t="e">
        <f>(-0.25*B1198-#REF!)/0.5</f>
        <v>#REF!</v>
      </c>
      <c r="O1223" s="3" t="e">
        <f>#REF!/#REF!</f>
        <v>#REF!</v>
      </c>
      <c r="P1223" s="3" t="e">
        <f>-0.5*B1198-#REF!</f>
        <v>#REF!</v>
      </c>
    </row>
    <row r="1224" spans="10:16" x14ac:dyDescent="0.25">
      <c r="J1224" s="3">
        <f t="shared" si="17"/>
        <v>-16.840292660104293</v>
      </c>
      <c r="K1224" s="3">
        <f t="shared" si="18"/>
        <v>-7.7755033054187912</v>
      </c>
      <c r="L1224" s="3">
        <f t="shared" si="19"/>
        <v>-69.267868167534161</v>
      </c>
      <c r="M1224" s="3">
        <f t="shared" si="20"/>
        <v>-13.58298309591499</v>
      </c>
      <c r="N1224" s="3" t="e">
        <f>(-0.25*B1199-#REF!)/0.5</f>
        <v>#REF!</v>
      </c>
      <c r="O1224" s="3" t="e">
        <f>#REF!/#REF!</f>
        <v>#REF!</v>
      </c>
      <c r="P1224" s="3" t="e">
        <f>-0.5*B1199-#REF!</f>
        <v>#REF!</v>
      </c>
    </row>
    <row r="1225" spans="10:16" x14ac:dyDescent="0.25">
      <c r="J1225" s="3">
        <f t="shared" si="17"/>
        <v>-16.840292660104293</v>
      </c>
      <c r="K1225" s="3">
        <f t="shared" si="18"/>
        <v>-7.7755033054187912</v>
      </c>
      <c r="L1225" s="3">
        <f t="shared" si="19"/>
        <v>-69.267868167534161</v>
      </c>
      <c r="M1225" s="3">
        <f t="shared" si="20"/>
        <v>-13.58298309591499</v>
      </c>
      <c r="N1225" s="3" t="e">
        <f>(-0.25*B1200-#REF!)/0.5</f>
        <v>#REF!</v>
      </c>
      <c r="O1225" s="3" t="e">
        <f>#REF!/#REF!</f>
        <v>#REF!</v>
      </c>
      <c r="P1225" s="3" t="e">
        <f>-0.5*B1200-#REF!</f>
        <v>#REF!</v>
      </c>
    </row>
    <row r="1226" spans="10:16" x14ac:dyDescent="0.25">
      <c r="J1226" s="3">
        <f t="shared" si="17"/>
        <v>-16.840292660104293</v>
      </c>
      <c r="K1226" s="3">
        <f t="shared" si="18"/>
        <v>-7.7755033054187912</v>
      </c>
      <c r="L1226" s="3">
        <f t="shared" si="19"/>
        <v>-69.267868167534161</v>
      </c>
      <c r="M1226" s="3">
        <f t="shared" si="20"/>
        <v>-13.58298309591499</v>
      </c>
      <c r="N1226" s="3" t="e">
        <f>(-0.25*B1201-#REF!)/0.5</f>
        <v>#REF!</v>
      </c>
      <c r="O1226" s="3" t="e">
        <f>#REF!/#REF!</f>
        <v>#REF!</v>
      </c>
      <c r="P1226" s="3" t="e">
        <f>-0.5*B1201-#REF!</f>
        <v>#REF!</v>
      </c>
    </row>
    <row r="1227" spans="10:16" x14ac:dyDescent="0.25">
      <c r="J1227" s="3">
        <f t="shared" si="17"/>
        <v>-16.840292660104293</v>
      </c>
      <c r="K1227" s="3">
        <f t="shared" si="18"/>
        <v>-7.7755033054187912</v>
      </c>
      <c r="L1227" s="3">
        <f t="shared" si="19"/>
        <v>-69.267868167534161</v>
      </c>
      <c r="M1227" s="3">
        <f t="shared" si="20"/>
        <v>-13.58298309591499</v>
      </c>
      <c r="N1227" s="3" t="e">
        <f>(-0.25*B1202-#REF!)/0.5</f>
        <v>#REF!</v>
      </c>
      <c r="O1227" s="3" t="e">
        <f>#REF!/#REF!</f>
        <v>#REF!</v>
      </c>
      <c r="P1227" s="3" t="e">
        <f>-0.5*B1202-#REF!</f>
        <v>#REF!</v>
      </c>
    </row>
    <row r="1228" spans="10:16" x14ac:dyDescent="0.25">
      <c r="J1228" s="3">
        <f t="shared" si="17"/>
        <v>-16.840292660104293</v>
      </c>
      <c r="K1228" s="3">
        <f t="shared" si="18"/>
        <v>-7.7755033054187912</v>
      </c>
      <c r="L1228" s="3">
        <f t="shared" si="19"/>
        <v>-69.267868167534161</v>
      </c>
      <c r="M1228" s="3">
        <f t="shared" si="20"/>
        <v>-13.58298309591499</v>
      </c>
      <c r="N1228" s="3" t="e">
        <f>(-0.25*B1203-#REF!)/0.5</f>
        <v>#REF!</v>
      </c>
      <c r="O1228" s="3" t="e">
        <f>#REF!/#REF!</f>
        <v>#REF!</v>
      </c>
      <c r="P1228" s="3" t="e">
        <f>-0.5*B1203-#REF!</f>
        <v>#REF!</v>
      </c>
    </row>
    <row r="1229" spans="10:16" x14ac:dyDescent="0.25">
      <c r="J1229" s="3">
        <f t="shared" si="17"/>
        <v>-16.840292660104293</v>
      </c>
      <c r="K1229" s="3">
        <f t="shared" si="18"/>
        <v>-7.7755033054187912</v>
      </c>
      <c r="L1229" s="3">
        <f t="shared" si="19"/>
        <v>-69.267868167534161</v>
      </c>
      <c r="M1229" s="3">
        <f t="shared" si="20"/>
        <v>-13.58298309591499</v>
      </c>
      <c r="N1229" s="3" t="e">
        <f>(-0.25*B1204-#REF!)/0.5</f>
        <v>#REF!</v>
      </c>
      <c r="O1229" s="3" t="e">
        <f>#REF!/#REF!</f>
        <v>#REF!</v>
      </c>
      <c r="P1229" s="3" t="e">
        <f>-0.5*B1204-#REF!</f>
        <v>#REF!</v>
      </c>
    </row>
    <row r="1230" spans="10:16" x14ac:dyDescent="0.25">
      <c r="J1230" s="3">
        <f t="shared" si="17"/>
        <v>-16.840292660104293</v>
      </c>
      <c r="K1230" s="3">
        <f t="shared" si="18"/>
        <v>-7.7755033054187912</v>
      </c>
      <c r="L1230" s="3">
        <f t="shared" si="19"/>
        <v>-69.267868167534161</v>
      </c>
      <c r="M1230" s="3">
        <f t="shared" si="20"/>
        <v>-13.58298309591499</v>
      </c>
      <c r="N1230" s="3" t="e">
        <f>(-0.25*B1205-#REF!)/0.5</f>
        <v>#REF!</v>
      </c>
      <c r="O1230" s="3" t="e">
        <f>#REF!/#REF!</f>
        <v>#REF!</v>
      </c>
      <c r="P1230" s="3" t="e">
        <f>-0.5*B1205-#REF!</f>
        <v>#REF!</v>
      </c>
    </row>
    <row r="1231" spans="10:16" x14ac:dyDescent="0.25">
      <c r="J1231" s="3">
        <f t="shared" si="17"/>
        <v>-16.840292660104293</v>
      </c>
      <c r="K1231" s="3">
        <f t="shared" si="18"/>
        <v>-7.7755033054187912</v>
      </c>
      <c r="L1231" s="3">
        <f t="shared" si="19"/>
        <v>-69.267868167534161</v>
      </c>
      <c r="M1231" s="3">
        <f t="shared" si="20"/>
        <v>-13.58298309591499</v>
      </c>
      <c r="N1231" s="3" t="e">
        <f>(-0.25*B1206-#REF!)/0.5</f>
        <v>#REF!</v>
      </c>
      <c r="O1231" s="3" t="e">
        <f>#REF!/#REF!</f>
        <v>#REF!</v>
      </c>
      <c r="P1231" s="3" t="e">
        <f>-0.5*B1206-#REF!</f>
        <v>#REF!</v>
      </c>
    </row>
    <row r="1232" spans="10:16" x14ac:dyDescent="0.25">
      <c r="J1232" s="3">
        <f t="shared" si="17"/>
        <v>-16.840292660104293</v>
      </c>
      <c r="K1232" s="3">
        <f t="shared" si="18"/>
        <v>-7.7755033054187912</v>
      </c>
      <c r="L1232" s="3">
        <f t="shared" si="19"/>
        <v>-69.267868167534161</v>
      </c>
      <c r="M1232" s="3">
        <f t="shared" si="20"/>
        <v>-13.58298309591499</v>
      </c>
      <c r="N1232" s="3" t="e">
        <f>(-0.25*B1207-#REF!)/0.5</f>
        <v>#REF!</v>
      </c>
      <c r="O1232" s="3" t="e">
        <f>#REF!/#REF!</f>
        <v>#REF!</v>
      </c>
      <c r="P1232" s="3" t="e">
        <f>-0.5*B1207-#REF!</f>
        <v>#REF!</v>
      </c>
    </row>
    <row r="1233" spans="10:16" x14ac:dyDescent="0.25">
      <c r="J1233" s="3">
        <f t="shared" si="17"/>
        <v>-16.840292660104293</v>
      </c>
      <c r="K1233" s="3">
        <f t="shared" si="18"/>
        <v>-7.7755033054187912</v>
      </c>
      <c r="L1233" s="3">
        <f t="shared" si="19"/>
        <v>-69.267868167534161</v>
      </c>
      <c r="M1233" s="3">
        <f t="shared" si="20"/>
        <v>-13.58298309591499</v>
      </c>
      <c r="N1233" s="3" t="e">
        <f>(-0.25*B1208-#REF!)/0.5</f>
        <v>#REF!</v>
      </c>
      <c r="O1233" s="3" t="e">
        <f>#REF!/#REF!</f>
        <v>#REF!</v>
      </c>
      <c r="P1233" s="3" t="e">
        <f>-0.5*B1208-#REF!</f>
        <v>#REF!</v>
      </c>
    </row>
    <row r="1234" spans="10:16" x14ac:dyDescent="0.25">
      <c r="J1234" s="3">
        <f t="shared" si="17"/>
        <v>-16.840292660104293</v>
      </c>
      <c r="K1234" s="3">
        <f t="shared" si="18"/>
        <v>-7.7755033054187912</v>
      </c>
      <c r="L1234" s="3">
        <f t="shared" si="19"/>
        <v>-69.267868167534161</v>
      </c>
      <c r="M1234" s="3">
        <f t="shared" si="20"/>
        <v>-13.58298309591499</v>
      </c>
      <c r="N1234" s="3" t="e">
        <f>(-0.25*B1209-#REF!)/0.5</f>
        <v>#REF!</v>
      </c>
      <c r="O1234" s="3" t="e">
        <f>#REF!/#REF!</f>
        <v>#REF!</v>
      </c>
      <c r="P1234" s="3" t="e">
        <f>-0.5*B1209-#REF!</f>
        <v>#REF!</v>
      </c>
    </row>
    <row r="1235" spans="10:16" x14ac:dyDescent="0.25">
      <c r="J1235" s="3">
        <f t="shared" si="17"/>
        <v>-16.840292660104293</v>
      </c>
      <c r="K1235" s="3">
        <f t="shared" si="18"/>
        <v>-7.7755033054187912</v>
      </c>
      <c r="L1235" s="3">
        <f t="shared" si="19"/>
        <v>-69.267868167534161</v>
      </c>
      <c r="M1235" s="3">
        <f t="shared" si="20"/>
        <v>-13.58298309591499</v>
      </c>
      <c r="N1235" s="3" t="e">
        <f>(-0.25*B1210-#REF!)/0.5</f>
        <v>#REF!</v>
      </c>
      <c r="O1235" s="3" t="e">
        <f>#REF!/#REF!</f>
        <v>#REF!</v>
      </c>
      <c r="P1235" s="3" t="e">
        <f>-0.5*B1210-#REF!</f>
        <v>#REF!</v>
      </c>
    </row>
    <row r="1236" spans="10:16" x14ac:dyDescent="0.25">
      <c r="J1236" s="3">
        <f t="shared" si="17"/>
        <v>-16.840292660104293</v>
      </c>
      <c r="K1236" s="3">
        <f t="shared" si="18"/>
        <v>-7.7755033054187912</v>
      </c>
      <c r="L1236" s="3">
        <f t="shared" si="19"/>
        <v>-69.267868167534161</v>
      </c>
      <c r="M1236" s="3">
        <f t="shared" si="20"/>
        <v>-13.58298309591499</v>
      </c>
      <c r="N1236" s="3" t="e">
        <f>(-0.25*B1211-#REF!)/0.5</f>
        <v>#REF!</v>
      </c>
      <c r="O1236" s="3" t="e">
        <f>#REF!/#REF!</f>
        <v>#REF!</v>
      </c>
      <c r="P1236" s="3" t="e">
        <f>-0.5*B1211-#REF!</f>
        <v>#REF!</v>
      </c>
    </row>
    <row r="1237" spans="10:16" x14ac:dyDescent="0.25">
      <c r="J1237" s="3">
        <f t="shared" si="17"/>
        <v>-16.840292660104293</v>
      </c>
      <c r="K1237" s="3">
        <f t="shared" si="18"/>
        <v>-7.7755033054187912</v>
      </c>
      <c r="L1237" s="3">
        <f t="shared" si="19"/>
        <v>-69.267868167534161</v>
      </c>
      <c r="M1237" s="3">
        <f t="shared" si="20"/>
        <v>-13.58298309591499</v>
      </c>
      <c r="N1237" s="3" t="e">
        <f>(-0.25*B1212-#REF!)/0.5</f>
        <v>#REF!</v>
      </c>
      <c r="O1237" s="3" t="e">
        <f>#REF!/#REF!</f>
        <v>#REF!</v>
      </c>
      <c r="P1237" s="3" t="e">
        <f>-0.5*B1212-#REF!</f>
        <v>#REF!</v>
      </c>
    </row>
    <row r="1238" spans="10:16" x14ac:dyDescent="0.25">
      <c r="J1238" s="3">
        <f t="shared" si="17"/>
        <v>-16.840292660104293</v>
      </c>
      <c r="K1238" s="3">
        <f t="shared" si="18"/>
        <v>-7.7755033054187912</v>
      </c>
      <c r="L1238" s="3">
        <f t="shared" si="19"/>
        <v>-69.267868167534161</v>
      </c>
      <c r="M1238" s="3">
        <f t="shared" si="20"/>
        <v>-13.58298309591499</v>
      </c>
      <c r="N1238" s="3" t="e">
        <f>(-0.25*B1213-#REF!)/0.5</f>
        <v>#REF!</v>
      </c>
      <c r="O1238" s="3" t="e">
        <f>#REF!/#REF!</f>
        <v>#REF!</v>
      </c>
      <c r="P1238" s="3" t="e">
        <f>-0.5*B1213-#REF!</f>
        <v>#REF!</v>
      </c>
    </row>
    <row r="1239" spans="10:16" x14ac:dyDescent="0.25">
      <c r="J1239" s="3">
        <f t="shared" si="17"/>
        <v>-16.840292660104293</v>
      </c>
      <c r="K1239" s="3">
        <f t="shared" si="18"/>
        <v>-7.7755033054187912</v>
      </c>
      <c r="L1239" s="3">
        <f t="shared" si="19"/>
        <v>-69.267868167534161</v>
      </c>
      <c r="M1239" s="3">
        <f t="shared" si="20"/>
        <v>-13.58298309591499</v>
      </c>
      <c r="N1239" s="3" t="e">
        <f>(-0.25*B1214-#REF!)/0.5</f>
        <v>#REF!</v>
      </c>
      <c r="O1239" s="3" t="e">
        <f>#REF!/#REF!</f>
        <v>#REF!</v>
      </c>
      <c r="P1239" s="3" t="e">
        <f>-0.5*B1214-#REF!</f>
        <v>#REF!</v>
      </c>
    </row>
    <row r="1240" spans="10:16" x14ac:dyDescent="0.25">
      <c r="J1240" s="3">
        <f t="shared" si="17"/>
        <v>-16.840292660104293</v>
      </c>
      <c r="K1240" s="3">
        <f t="shared" si="18"/>
        <v>-7.7755033054187912</v>
      </c>
      <c r="L1240" s="3">
        <f t="shared" si="19"/>
        <v>-69.267868167534161</v>
      </c>
      <c r="M1240" s="3">
        <f t="shared" si="20"/>
        <v>-13.58298309591499</v>
      </c>
      <c r="N1240" s="3" t="e">
        <f>(-0.25*B1215-#REF!)/0.5</f>
        <v>#REF!</v>
      </c>
      <c r="O1240" s="3" t="e">
        <f>#REF!/#REF!</f>
        <v>#REF!</v>
      </c>
      <c r="P1240" s="3" t="e">
        <f>-0.5*B1215-#REF!</f>
        <v>#REF!</v>
      </c>
    </row>
    <row r="1241" spans="10:16" x14ac:dyDescent="0.25">
      <c r="J1241" s="3">
        <f t="shared" si="17"/>
        <v>-16.840292660104293</v>
      </c>
      <c r="K1241" s="3">
        <f t="shared" si="18"/>
        <v>-7.7755033054187912</v>
      </c>
      <c r="L1241" s="3">
        <f t="shared" si="19"/>
        <v>-69.267868167534161</v>
      </c>
      <c r="M1241" s="3">
        <f t="shared" si="20"/>
        <v>-13.58298309591499</v>
      </c>
      <c r="N1241" s="3" t="e">
        <f>(-0.25*B1216-#REF!)/0.5</f>
        <v>#REF!</v>
      </c>
      <c r="O1241" s="3" t="e">
        <f>#REF!/#REF!</f>
        <v>#REF!</v>
      </c>
      <c r="P1241" s="3" t="e">
        <f>-0.5*B1216-#REF!</f>
        <v>#REF!</v>
      </c>
    </row>
    <row r="1242" spans="10:16" x14ac:dyDescent="0.25">
      <c r="J1242" s="3">
        <f t="shared" si="17"/>
        <v>-16.840292660104293</v>
      </c>
      <c r="K1242" s="3">
        <f t="shared" si="18"/>
        <v>-7.7755033054187912</v>
      </c>
      <c r="L1242" s="3">
        <f t="shared" si="19"/>
        <v>-69.267868167534161</v>
      </c>
      <c r="M1242" s="3">
        <f t="shared" si="20"/>
        <v>-13.58298309591499</v>
      </c>
      <c r="N1242" s="3" t="e">
        <f>(-0.25*B1217-#REF!)/0.5</f>
        <v>#REF!</v>
      </c>
      <c r="O1242" s="3" t="e">
        <f>#REF!/#REF!</f>
        <v>#REF!</v>
      </c>
      <c r="P1242" s="3" t="e">
        <f>-0.5*B1217-#REF!</f>
        <v>#REF!</v>
      </c>
    </row>
    <row r="1243" spans="10:16" x14ac:dyDescent="0.25">
      <c r="J1243" s="3">
        <f t="shared" si="17"/>
        <v>-16.840292660104293</v>
      </c>
      <c r="K1243" s="3">
        <f t="shared" si="18"/>
        <v>-7.7755033054187912</v>
      </c>
      <c r="L1243" s="3">
        <f t="shared" si="19"/>
        <v>-69.267868167534161</v>
      </c>
      <c r="M1243" s="3">
        <f t="shared" si="20"/>
        <v>-13.58298309591499</v>
      </c>
      <c r="N1243" s="3" t="e">
        <f>(-0.25*B1218-#REF!)/0.5</f>
        <v>#REF!</v>
      </c>
      <c r="O1243" s="3" t="e">
        <f>#REF!/#REF!</f>
        <v>#REF!</v>
      </c>
      <c r="P1243" s="3" t="e">
        <f>-0.5*B1218-#REF!</f>
        <v>#REF!</v>
      </c>
    </row>
    <row r="1244" spans="10:16" x14ac:dyDescent="0.25">
      <c r="J1244" s="3">
        <f t="shared" si="17"/>
        <v>-16.840292660104293</v>
      </c>
      <c r="K1244" s="3">
        <f t="shared" si="18"/>
        <v>-7.7755033054187912</v>
      </c>
      <c r="L1244" s="3">
        <f t="shared" si="19"/>
        <v>-69.267868167534161</v>
      </c>
      <c r="M1244" s="3">
        <f t="shared" si="20"/>
        <v>-13.58298309591499</v>
      </c>
      <c r="N1244" s="3" t="e">
        <f>(-0.25*B1219-#REF!)/0.5</f>
        <v>#REF!</v>
      </c>
      <c r="O1244" s="3" t="e">
        <f>#REF!/#REF!</f>
        <v>#REF!</v>
      </c>
      <c r="P1244" s="3" t="e">
        <f>-0.5*B1219-#REF!</f>
        <v>#REF!</v>
      </c>
    </row>
    <row r="1245" spans="10:16" x14ac:dyDescent="0.25">
      <c r="J1245" s="3">
        <f t="shared" si="17"/>
        <v>-16.840292660104293</v>
      </c>
      <c r="K1245" s="3">
        <f t="shared" si="18"/>
        <v>-7.7755033054187912</v>
      </c>
      <c r="L1245" s="3">
        <f t="shared" si="19"/>
        <v>-69.267868167534161</v>
      </c>
      <c r="M1245" s="3">
        <f t="shared" si="20"/>
        <v>-13.58298309591499</v>
      </c>
      <c r="N1245" s="3" t="e">
        <f>(-0.25*B1220-#REF!)/0.5</f>
        <v>#REF!</v>
      </c>
      <c r="O1245" s="3" t="e">
        <f>#REF!/#REF!</f>
        <v>#REF!</v>
      </c>
      <c r="P1245" s="3" t="e">
        <f>-0.5*B1220-#REF!</f>
        <v>#REF!</v>
      </c>
    </row>
    <row r="1246" spans="10:16" x14ac:dyDescent="0.25">
      <c r="J1246" s="3">
        <f t="shared" si="17"/>
        <v>-16.840292660104293</v>
      </c>
      <c r="K1246" s="3">
        <f t="shared" si="18"/>
        <v>-7.7755033054187912</v>
      </c>
      <c r="L1246" s="3">
        <f t="shared" si="19"/>
        <v>-69.267868167534161</v>
      </c>
      <c r="M1246" s="3">
        <f t="shared" si="20"/>
        <v>-13.58298309591499</v>
      </c>
      <c r="N1246" s="3" t="e">
        <f>(-0.25*B1221-#REF!)/0.5</f>
        <v>#REF!</v>
      </c>
      <c r="O1246" s="3" t="e">
        <f>#REF!/#REF!</f>
        <v>#REF!</v>
      </c>
      <c r="P1246" s="3" t="e">
        <f>-0.5*B1221-#REF!</f>
        <v>#REF!</v>
      </c>
    </row>
    <row r="1247" spans="10:16" x14ac:dyDescent="0.25">
      <c r="J1247" s="3">
        <f t="shared" si="17"/>
        <v>-16.840292660104293</v>
      </c>
      <c r="K1247" s="3">
        <f t="shared" si="18"/>
        <v>-7.7755033054187912</v>
      </c>
      <c r="L1247" s="3">
        <f t="shared" si="19"/>
        <v>-69.267868167534161</v>
      </c>
      <c r="M1247" s="3">
        <f t="shared" si="20"/>
        <v>-13.58298309591499</v>
      </c>
      <c r="N1247" s="3" t="e">
        <f>(-0.25*B1222-#REF!)/0.5</f>
        <v>#REF!</v>
      </c>
      <c r="O1247" s="3" t="e">
        <f>#REF!/#REF!</f>
        <v>#REF!</v>
      </c>
      <c r="P1247" s="3" t="e">
        <f>-0.5*B1222-#REF!</f>
        <v>#REF!</v>
      </c>
    </row>
    <row r="1248" spans="10:16" x14ac:dyDescent="0.25">
      <c r="J1248" s="3">
        <f t="shared" si="17"/>
        <v>-16.840292660104293</v>
      </c>
      <c r="K1248" s="3">
        <f t="shared" si="18"/>
        <v>-7.7755033054187912</v>
      </c>
      <c r="L1248" s="3">
        <f t="shared" si="19"/>
        <v>-69.267868167534161</v>
      </c>
      <c r="M1248" s="3">
        <f t="shared" si="20"/>
        <v>-13.58298309591499</v>
      </c>
      <c r="N1248" s="3" t="e">
        <f>(-0.25*B1223-#REF!)/0.5</f>
        <v>#REF!</v>
      </c>
      <c r="O1248" s="3" t="e">
        <f>#REF!/#REF!</f>
        <v>#REF!</v>
      </c>
      <c r="P1248" s="3" t="e">
        <f>-0.5*B1223-#REF!</f>
        <v>#REF!</v>
      </c>
    </row>
    <row r="1249" spans="10:16" x14ac:dyDescent="0.25">
      <c r="J1249" s="3">
        <f t="shared" si="17"/>
        <v>-16.840292660104293</v>
      </c>
      <c r="K1249" s="3">
        <f t="shared" si="18"/>
        <v>-7.7755033054187912</v>
      </c>
      <c r="L1249" s="3">
        <f t="shared" si="19"/>
        <v>-69.267868167534161</v>
      </c>
      <c r="M1249" s="3">
        <f t="shared" si="20"/>
        <v>-13.58298309591499</v>
      </c>
      <c r="N1249" s="3" t="e">
        <f>(-0.25*B1224-#REF!)/0.5</f>
        <v>#REF!</v>
      </c>
      <c r="O1249" s="3" t="e">
        <f>#REF!/#REF!</f>
        <v>#REF!</v>
      </c>
      <c r="P1249" s="3" t="e">
        <f>-0.5*B1224-#REF!</f>
        <v>#REF!</v>
      </c>
    </row>
    <row r="1250" spans="10:16" x14ac:dyDescent="0.25">
      <c r="J1250" s="3">
        <f t="shared" si="17"/>
        <v>-16.840292660104293</v>
      </c>
      <c r="K1250" s="3">
        <f t="shared" si="18"/>
        <v>-7.7755033054187912</v>
      </c>
      <c r="L1250" s="3">
        <f t="shared" si="19"/>
        <v>-69.267868167534161</v>
      </c>
      <c r="M1250" s="3">
        <f t="shared" si="20"/>
        <v>-13.58298309591499</v>
      </c>
      <c r="N1250" s="3" t="e">
        <f>(-0.25*B1225-#REF!)/0.5</f>
        <v>#REF!</v>
      </c>
      <c r="O1250" s="3" t="e">
        <f>#REF!/#REF!</f>
        <v>#REF!</v>
      </c>
      <c r="P1250" s="3" t="e">
        <f>-0.5*B1225-#REF!</f>
        <v>#REF!</v>
      </c>
    </row>
    <row r="1251" spans="10:16" x14ac:dyDescent="0.25">
      <c r="J1251" s="3">
        <f t="shared" si="17"/>
        <v>-16.840292660104293</v>
      </c>
      <c r="K1251" s="3">
        <f t="shared" si="18"/>
        <v>-7.7755033054187912</v>
      </c>
      <c r="L1251" s="3">
        <f t="shared" si="19"/>
        <v>-69.267868167534161</v>
      </c>
      <c r="M1251" s="3">
        <f t="shared" si="20"/>
        <v>-13.58298309591499</v>
      </c>
      <c r="N1251" s="3" t="e">
        <f>(-0.25*B1226-#REF!)/0.5</f>
        <v>#REF!</v>
      </c>
      <c r="O1251" s="3" t="e">
        <f>#REF!/#REF!</f>
        <v>#REF!</v>
      </c>
      <c r="P1251" s="3" t="e">
        <f>-0.5*B1226-#REF!</f>
        <v>#REF!</v>
      </c>
    </row>
    <row r="1252" spans="10:16" x14ac:dyDescent="0.25">
      <c r="J1252" s="3">
        <f t="shared" si="17"/>
        <v>-16.840292660104293</v>
      </c>
      <c r="K1252" s="3">
        <f t="shared" si="18"/>
        <v>-7.7755033054187912</v>
      </c>
      <c r="L1252" s="3">
        <f t="shared" si="19"/>
        <v>-69.267868167534161</v>
      </c>
      <c r="M1252" s="3">
        <f t="shared" si="20"/>
        <v>-13.58298309591499</v>
      </c>
      <c r="N1252" s="3" t="e">
        <f>(-0.25*B1227-#REF!)/0.5</f>
        <v>#REF!</v>
      </c>
      <c r="O1252" s="3" t="e">
        <f>#REF!/#REF!</f>
        <v>#REF!</v>
      </c>
      <c r="P1252" s="3" t="e">
        <f>-0.5*B1227-#REF!</f>
        <v>#REF!</v>
      </c>
    </row>
    <row r="1253" spans="10:16" x14ac:dyDescent="0.25">
      <c r="J1253" s="3">
        <f t="shared" si="17"/>
        <v>-16.840292660104293</v>
      </c>
      <c r="K1253" s="3">
        <f t="shared" si="18"/>
        <v>-7.7755033054187912</v>
      </c>
      <c r="L1253" s="3">
        <f t="shared" si="19"/>
        <v>-69.267868167534161</v>
      </c>
      <c r="M1253" s="3">
        <f t="shared" si="20"/>
        <v>-13.58298309591499</v>
      </c>
      <c r="N1253" s="3" t="e">
        <f>(-0.25*B1228-#REF!)/0.5</f>
        <v>#REF!</v>
      </c>
      <c r="O1253" s="3" t="e">
        <f>#REF!/#REF!</f>
        <v>#REF!</v>
      </c>
      <c r="P1253" s="3" t="e">
        <f>-0.5*B1228-#REF!</f>
        <v>#REF!</v>
      </c>
    </row>
    <row r="1254" spans="10:16" x14ac:dyDescent="0.25">
      <c r="J1254" s="3">
        <f t="shared" si="17"/>
        <v>-16.840292660104293</v>
      </c>
      <c r="K1254" s="3">
        <f t="shared" si="18"/>
        <v>-7.7755033054187912</v>
      </c>
      <c r="L1254" s="3">
        <f t="shared" si="19"/>
        <v>-69.267868167534161</v>
      </c>
      <c r="M1254" s="3">
        <f t="shared" si="20"/>
        <v>-13.58298309591499</v>
      </c>
      <c r="N1254" s="3" t="e">
        <f>(-0.25*B1229-#REF!)/0.5</f>
        <v>#REF!</v>
      </c>
      <c r="O1254" s="3" t="e">
        <f>#REF!/#REF!</f>
        <v>#REF!</v>
      </c>
      <c r="P1254" s="3" t="e">
        <f>-0.5*B1229-#REF!</f>
        <v>#REF!</v>
      </c>
    </row>
    <row r="1255" spans="10:16" x14ac:dyDescent="0.25">
      <c r="J1255" s="3">
        <f t="shared" si="17"/>
        <v>-16.840292660104293</v>
      </c>
      <c r="K1255" s="3">
        <f t="shared" si="18"/>
        <v>-7.7755033054187912</v>
      </c>
      <c r="L1255" s="3">
        <f t="shared" si="19"/>
        <v>-69.267868167534161</v>
      </c>
      <c r="M1255" s="3">
        <f t="shared" si="20"/>
        <v>-13.58298309591499</v>
      </c>
      <c r="N1255" s="3" t="e">
        <f>(-0.25*B1230-#REF!)/0.5</f>
        <v>#REF!</v>
      </c>
      <c r="O1255" s="3" t="e">
        <f>#REF!/#REF!</f>
        <v>#REF!</v>
      </c>
      <c r="P1255" s="3" t="e">
        <f>-0.5*B1230-#REF!</f>
        <v>#REF!</v>
      </c>
    </row>
    <row r="1256" spans="10:16" x14ac:dyDescent="0.25">
      <c r="J1256" s="3">
        <f t="shared" si="17"/>
        <v>-16.840292660104293</v>
      </c>
      <c r="K1256" s="3">
        <f t="shared" si="18"/>
        <v>-7.7755033054187912</v>
      </c>
      <c r="L1256" s="3">
        <f t="shared" si="19"/>
        <v>-69.267868167534161</v>
      </c>
      <c r="M1256" s="3">
        <f t="shared" si="20"/>
        <v>-13.58298309591499</v>
      </c>
      <c r="N1256" s="3" t="e">
        <f>(-0.25*B1231-#REF!)/0.5</f>
        <v>#REF!</v>
      </c>
      <c r="O1256" s="3" t="e">
        <f>#REF!/#REF!</f>
        <v>#REF!</v>
      </c>
      <c r="P1256" s="3" t="e">
        <f>-0.5*B1231-#REF!</f>
        <v>#REF!</v>
      </c>
    </row>
    <row r="1257" spans="10:16" x14ac:dyDescent="0.25">
      <c r="J1257" s="3">
        <f t="shared" si="17"/>
        <v>-16.840292660104293</v>
      </c>
      <c r="K1257" s="3">
        <f t="shared" si="18"/>
        <v>-7.7755033054187912</v>
      </c>
      <c r="L1257" s="3">
        <f t="shared" si="19"/>
        <v>-69.267868167534161</v>
      </c>
      <c r="M1257" s="3">
        <f t="shared" si="20"/>
        <v>-13.58298309591499</v>
      </c>
      <c r="N1257" s="3" t="e">
        <f>(-0.25*B1232-#REF!)/0.5</f>
        <v>#REF!</v>
      </c>
      <c r="O1257" s="3" t="e">
        <f>#REF!/#REF!</f>
        <v>#REF!</v>
      </c>
      <c r="P1257" s="3" t="e">
        <f>-0.5*B1232-#REF!</f>
        <v>#REF!</v>
      </c>
    </row>
    <row r="1258" spans="10:16" x14ac:dyDescent="0.25">
      <c r="J1258" s="3">
        <f t="shared" si="17"/>
        <v>-16.840292660104293</v>
      </c>
      <c r="K1258" s="3">
        <f t="shared" si="18"/>
        <v>-7.7755033054187912</v>
      </c>
      <c r="L1258" s="3">
        <f t="shared" si="19"/>
        <v>-69.267868167534161</v>
      </c>
      <c r="M1258" s="3">
        <f t="shared" si="20"/>
        <v>-13.58298309591499</v>
      </c>
      <c r="N1258" s="3" t="e">
        <f>(-0.25*B1233-#REF!)/0.5</f>
        <v>#REF!</v>
      </c>
      <c r="O1258" s="3" t="e">
        <f>#REF!/#REF!</f>
        <v>#REF!</v>
      </c>
      <c r="P1258" s="3" t="e">
        <f>-0.5*B1233-#REF!</f>
        <v>#REF!</v>
      </c>
    </row>
    <row r="1259" spans="10:16" x14ac:dyDescent="0.25">
      <c r="J1259" s="3">
        <f t="shared" si="17"/>
        <v>-16.840292660104293</v>
      </c>
      <c r="K1259" s="3">
        <f t="shared" si="18"/>
        <v>-7.7755033054187912</v>
      </c>
      <c r="L1259" s="3">
        <f t="shared" si="19"/>
        <v>-69.267868167534161</v>
      </c>
      <c r="M1259" s="3">
        <f t="shared" si="20"/>
        <v>-13.58298309591499</v>
      </c>
      <c r="N1259" s="3" t="e">
        <f>(-0.25*B1234-#REF!)/0.5</f>
        <v>#REF!</v>
      </c>
      <c r="O1259" s="3" t="e">
        <f>#REF!/#REF!</f>
        <v>#REF!</v>
      </c>
      <c r="P1259" s="3" t="e">
        <f>-0.5*B1234-#REF!</f>
        <v>#REF!</v>
      </c>
    </row>
    <row r="1260" spans="10:16" x14ac:dyDescent="0.25">
      <c r="J1260" s="3">
        <f t="shared" si="17"/>
        <v>-16.840292660104293</v>
      </c>
      <c r="K1260" s="3">
        <f t="shared" si="18"/>
        <v>-7.7755033054187912</v>
      </c>
      <c r="L1260" s="3">
        <f t="shared" si="19"/>
        <v>-69.267868167534161</v>
      </c>
      <c r="M1260" s="3">
        <f t="shared" si="20"/>
        <v>-13.58298309591499</v>
      </c>
      <c r="N1260" s="3" t="e">
        <f>(-0.25*B1235-#REF!)/0.5</f>
        <v>#REF!</v>
      </c>
      <c r="O1260" s="3" t="e">
        <f>#REF!/#REF!</f>
        <v>#REF!</v>
      </c>
      <c r="P1260" s="3" t="e">
        <f>-0.5*B1235-#REF!</f>
        <v>#REF!</v>
      </c>
    </row>
    <row r="1261" spans="10:16" x14ac:dyDescent="0.25">
      <c r="J1261" s="3">
        <f t="shared" si="17"/>
        <v>-16.840292660104293</v>
      </c>
      <c r="K1261" s="3">
        <f t="shared" si="18"/>
        <v>-7.7755033054187912</v>
      </c>
      <c r="L1261" s="3">
        <f t="shared" si="19"/>
        <v>-69.267868167534161</v>
      </c>
      <c r="M1261" s="3">
        <f t="shared" si="20"/>
        <v>-13.58298309591499</v>
      </c>
      <c r="N1261" s="3" t="e">
        <f>(-0.25*B1236-#REF!)/0.5</f>
        <v>#REF!</v>
      </c>
      <c r="O1261" s="3" t="e">
        <f>#REF!/#REF!</f>
        <v>#REF!</v>
      </c>
      <c r="P1261" s="3" t="e">
        <f>-0.5*B1236-#REF!</f>
        <v>#REF!</v>
      </c>
    </row>
    <row r="1262" spans="10:16" x14ac:dyDescent="0.25">
      <c r="J1262" s="3">
        <f t="shared" si="17"/>
        <v>-16.840292660104293</v>
      </c>
      <c r="K1262" s="3">
        <f t="shared" si="18"/>
        <v>-7.7755033054187912</v>
      </c>
      <c r="L1262" s="3">
        <f t="shared" si="19"/>
        <v>-69.267868167534161</v>
      </c>
      <c r="M1262" s="3">
        <f t="shared" si="20"/>
        <v>-13.58298309591499</v>
      </c>
      <c r="N1262" s="3" t="e">
        <f>(-0.25*B1237-#REF!)/0.5</f>
        <v>#REF!</v>
      </c>
      <c r="O1262" s="3" t="e">
        <f>#REF!/#REF!</f>
        <v>#REF!</v>
      </c>
      <c r="P1262" s="3" t="e">
        <f>-0.5*B1237-#REF!</f>
        <v>#REF!</v>
      </c>
    </row>
    <row r="1263" spans="10:16" x14ac:dyDescent="0.25">
      <c r="J1263" s="3">
        <f t="shared" si="17"/>
        <v>-16.840292660104293</v>
      </c>
      <c r="K1263" s="3">
        <f t="shared" si="18"/>
        <v>-7.7755033054187912</v>
      </c>
      <c r="L1263" s="3">
        <f t="shared" si="19"/>
        <v>-69.267868167534161</v>
      </c>
      <c r="M1263" s="3">
        <f t="shared" si="20"/>
        <v>-13.58298309591499</v>
      </c>
      <c r="N1263" s="3" t="e">
        <f>(-0.25*B1238-#REF!)/0.5</f>
        <v>#REF!</v>
      </c>
      <c r="O1263" s="3" t="e">
        <f>#REF!/#REF!</f>
        <v>#REF!</v>
      </c>
      <c r="P1263" s="3" t="e">
        <f>-0.5*B1238-#REF!</f>
        <v>#REF!</v>
      </c>
    </row>
    <row r="1264" spans="10:16" x14ac:dyDescent="0.25">
      <c r="J1264" s="3">
        <f t="shared" si="17"/>
        <v>-16.840292660104293</v>
      </c>
      <c r="K1264" s="3">
        <f t="shared" si="18"/>
        <v>-7.7755033054187912</v>
      </c>
      <c r="L1264" s="3">
        <f t="shared" si="19"/>
        <v>-69.267868167534161</v>
      </c>
      <c r="M1264" s="3">
        <f t="shared" si="20"/>
        <v>-13.58298309591499</v>
      </c>
      <c r="N1264" s="3" t="e">
        <f>(-0.25*B1239-#REF!)/0.5</f>
        <v>#REF!</v>
      </c>
      <c r="O1264" s="3" t="e">
        <f>#REF!/#REF!</f>
        <v>#REF!</v>
      </c>
      <c r="P1264" s="3" t="e">
        <f>-0.5*B1239-#REF!</f>
        <v>#REF!</v>
      </c>
    </row>
    <row r="1265" spans="10:16" x14ac:dyDescent="0.25">
      <c r="J1265" s="3">
        <f t="shared" si="17"/>
        <v>-16.840292660104293</v>
      </c>
      <c r="K1265" s="3">
        <f t="shared" si="18"/>
        <v>-7.7755033054187912</v>
      </c>
      <c r="L1265" s="3">
        <f t="shared" si="19"/>
        <v>-69.267868167534161</v>
      </c>
      <c r="M1265" s="3">
        <f t="shared" si="20"/>
        <v>-13.58298309591499</v>
      </c>
      <c r="N1265" s="3" t="e">
        <f>(-0.25*B1240-#REF!)/0.5</f>
        <v>#REF!</v>
      </c>
      <c r="O1265" s="3" t="e">
        <f>#REF!/#REF!</f>
        <v>#REF!</v>
      </c>
      <c r="P1265" s="3" t="e">
        <f>-0.5*B1240-#REF!</f>
        <v>#REF!</v>
      </c>
    </row>
    <row r="1266" spans="10:16" x14ac:dyDescent="0.25">
      <c r="J1266" s="3">
        <f t="shared" si="17"/>
        <v>-16.840292660104293</v>
      </c>
      <c r="K1266" s="3">
        <f t="shared" si="18"/>
        <v>-7.7755033054187912</v>
      </c>
      <c r="L1266" s="3">
        <f t="shared" si="19"/>
        <v>-69.267868167534161</v>
      </c>
      <c r="M1266" s="3">
        <f t="shared" si="20"/>
        <v>-13.58298309591499</v>
      </c>
      <c r="N1266" s="3" t="e">
        <f>(-0.25*B1241-#REF!)/0.5</f>
        <v>#REF!</v>
      </c>
      <c r="O1266" s="3" t="e">
        <f>#REF!/#REF!</f>
        <v>#REF!</v>
      </c>
      <c r="P1266" s="3" t="e">
        <f>-0.5*B1241-#REF!</f>
        <v>#REF!</v>
      </c>
    </row>
    <row r="1267" spans="10:16" x14ac:dyDescent="0.25">
      <c r="J1267" s="3">
        <f t="shared" si="17"/>
        <v>-16.840292660104293</v>
      </c>
      <c r="K1267" s="3">
        <f t="shared" si="18"/>
        <v>-7.7755033054187912</v>
      </c>
      <c r="L1267" s="3">
        <f t="shared" si="19"/>
        <v>-69.267868167534161</v>
      </c>
      <c r="M1267" s="3">
        <f t="shared" si="20"/>
        <v>-13.58298309591499</v>
      </c>
      <c r="N1267" s="3" t="e">
        <f>(-0.25*B1242-#REF!)/0.5</f>
        <v>#REF!</v>
      </c>
      <c r="O1267" s="3" t="e">
        <f>#REF!/#REF!</f>
        <v>#REF!</v>
      </c>
      <c r="P1267" s="3" t="e">
        <f>-0.5*B1242-#REF!</f>
        <v>#REF!</v>
      </c>
    </row>
    <row r="1268" spans="10:16" x14ac:dyDescent="0.25">
      <c r="J1268" s="3">
        <f t="shared" si="17"/>
        <v>-16.840292660104293</v>
      </c>
      <c r="K1268" s="3">
        <f t="shared" si="18"/>
        <v>-7.7755033054187912</v>
      </c>
      <c r="L1268" s="3">
        <f t="shared" si="19"/>
        <v>-69.267868167534161</v>
      </c>
      <c r="M1268" s="3">
        <f t="shared" si="20"/>
        <v>-13.58298309591499</v>
      </c>
      <c r="N1268" s="3" t="e">
        <f>(-0.25*B1243-#REF!)/0.5</f>
        <v>#REF!</v>
      </c>
      <c r="O1268" s="3" t="e">
        <f>#REF!/#REF!</f>
        <v>#REF!</v>
      </c>
      <c r="P1268" s="3" t="e">
        <f>-0.5*B1243-#REF!</f>
        <v>#REF!</v>
      </c>
    </row>
    <row r="1269" spans="10:16" x14ac:dyDescent="0.25">
      <c r="J1269" s="3">
        <f t="shared" si="17"/>
        <v>-16.840292660104293</v>
      </c>
      <c r="K1269" s="3">
        <f t="shared" si="18"/>
        <v>-7.7755033054187912</v>
      </c>
      <c r="L1269" s="3">
        <f t="shared" si="19"/>
        <v>-69.267868167534161</v>
      </c>
      <c r="M1269" s="3">
        <f t="shared" si="20"/>
        <v>-13.58298309591499</v>
      </c>
      <c r="N1269" s="3" t="e">
        <f>(-0.25*B1244-#REF!)/0.5</f>
        <v>#REF!</v>
      </c>
      <c r="O1269" s="3" t="e">
        <f>#REF!/#REF!</f>
        <v>#REF!</v>
      </c>
      <c r="P1269" s="3" t="e">
        <f>-0.5*B1244-#REF!</f>
        <v>#REF!</v>
      </c>
    </row>
    <row r="1270" spans="10:16" x14ac:dyDescent="0.25">
      <c r="J1270" s="3">
        <f t="shared" si="17"/>
        <v>-16.840292660104293</v>
      </c>
      <c r="K1270" s="3">
        <f t="shared" si="18"/>
        <v>-7.7755033054187912</v>
      </c>
      <c r="L1270" s="3">
        <f t="shared" si="19"/>
        <v>-69.267868167534161</v>
      </c>
      <c r="M1270" s="3">
        <f t="shared" si="20"/>
        <v>-13.58298309591499</v>
      </c>
      <c r="N1270" s="3" t="e">
        <f>(-0.25*B1245-#REF!)/0.5</f>
        <v>#REF!</v>
      </c>
      <c r="O1270" s="3" t="e">
        <f>#REF!/#REF!</f>
        <v>#REF!</v>
      </c>
      <c r="P1270" s="3" t="e">
        <f>-0.5*B1245-#REF!</f>
        <v>#REF!</v>
      </c>
    </row>
    <row r="1271" spans="10:16" x14ac:dyDescent="0.25">
      <c r="J1271" s="3">
        <f t="shared" si="17"/>
        <v>-16.840292660104293</v>
      </c>
      <c r="K1271" s="3">
        <f t="shared" si="18"/>
        <v>-7.7755033054187912</v>
      </c>
      <c r="L1271" s="3">
        <f t="shared" si="19"/>
        <v>-69.267868167534161</v>
      </c>
      <c r="M1271" s="3">
        <f t="shared" si="20"/>
        <v>-13.58298309591499</v>
      </c>
      <c r="N1271" s="3" t="e">
        <f>(-0.25*B1246-#REF!)/0.5</f>
        <v>#REF!</v>
      </c>
      <c r="O1271" s="3" t="e">
        <f>#REF!/#REF!</f>
        <v>#REF!</v>
      </c>
      <c r="P1271" s="3" t="e">
        <f>-0.5*B1246-#REF!</f>
        <v>#REF!</v>
      </c>
    </row>
    <row r="1272" spans="10:16" x14ac:dyDescent="0.25">
      <c r="J1272" s="3">
        <f t="shared" si="17"/>
        <v>-16.840292660104293</v>
      </c>
      <c r="K1272" s="3">
        <f t="shared" si="18"/>
        <v>-7.7755033054187912</v>
      </c>
      <c r="L1272" s="3">
        <f t="shared" si="19"/>
        <v>-69.267868167534161</v>
      </c>
      <c r="M1272" s="3">
        <f t="shared" si="20"/>
        <v>-13.58298309591499</v>
      </c>
      <c r="N1272" s="3" t="e">
        <f>(-0.25*B1247-#REF!)/0.5</f>
        <v>#REF!</v>
      </c>
      <c r="O1272" s="3" t="e">
        <f>#REF!/#REF!</f>
        <v>#REF!</v>
      </c>
      <c r="P1272" s="3" t="e">
        <f>-0.5*B1247-#REF!</f>
        <v>#REF!</v>
      </c>
    </row>
    <row r="1273" spans="10:16" x14ac:dyDescent="0.25">
      <c r="J1273" s="3">
        <f t="shared" ref="J1273:J1336" si="21">$AC$16-B1248</f>
        <v>-16.840292660104293</v>
      </c>
      <c r="K1273" s="3">
        <f t="shared" ref="K1273:K1336" si="22">-0.5*B1248-$AC$17</f>
        <v>-7.7755033054187912</v>
      </c>
      <c r="L1273" s="3">
        <f t="shared" ref="L1273:L1336" si="23">-0.75*B1248-$AC$18</f>
        <v>-69.267868167534161</v>
      </c>
      <c r="M1273" s="3">
        <f t="shared" ref="M1273:M1336" si="24">-B1248-$AC$19</f>
        <v>-13.58298309591499</v>
      </c>
      <c r="N1273" s="3" t="e">
        <f>(-0.25*B1248-#REF!)/0.5</f>
        <v>#REF!</v>
      </c>
      <c r="O1273" s="3" t="e">
        <f>#REF!/#REF!</f>
        <v>#REF!</v>
      </c>
      <c r="P1273" s="3" t="e">
        <f>-0.5*B1248-#REF!</f>
        <v>#REF!</v>
      </c>
    </row>
    <row r="1274" spans="10:16" x14ac:dyDescent="0.25">
      <c r="J1274" s="3">
        <f t="shared" si="21"/>
        <v>-16.840292660104293</v>
      </c>
      <c r="K1274" s="3">
        <f t="shared" si="22"/>
        <v>-7.7755033054187912</v>
      </c>
      <c r="L1274" s="3">
        <f t="shared" si="23"/>
        <v>-69.267868167534161</v>
      </c>
      <c r="M1274" s="3">
        <f t="shared" si="24"/>
        <v>-13.58298309591499</v>
      </c>
      <c r="N1274" s="3" t="e">
        <f>(-0.25*B1249-#REF!)/0.5</f>
        <v>#REF!</v>
      </c>
      <c r="O1274" s="3" t="e">
        <f>#REF!/#REF!</f>
        <v>#REF!</v>
      </c>
      <c r="P1274" s="3" t="e">
        <f>-0.5*B1249-#REF!</f>
        <v>#REF!</v>
      </c>
    </row>
    <row r="1275" spans="10:16" x14ac:dyDescent="0.25">
      <c r="J1275" s="3">
        <f t="shared" si="21"/>
        <v>-16.840292660104293</v>
      </c>
      <c r="K1275" s="3">
        <f t="shared" si="22"/>
        <v>-7.7755033054187912</v>
      </c>
      <c r="L1275" s="3">
        <f t="shared" si="23"/>
        <v>-69.267868167534161</v>
      </c>
      <c r="M1275" s="3">
        <f t="shared" si="24"/>
        <v>-13.58298309591499</v>
      </c>
      <c r="N1275" s="3" t="e">
        <f>(-0.25*B1250-#REF!)/0.5</f>
        <v>#REF!</v>
      </c>
      <c r="O1275" s="3" t="e">
        <f>#REF!/#REF!</f>
        <v>#REF!</v>
      </c>
      <c r="P1275" s="3" t="e">
        <f>-0.5*B1250-#REF!</f>
        <v>#REF!</v>
      </c>
    </row>
    <row r="1276" spans="10:16" x14ac:dyDescent="0.25">
      <c r="J1276" s="3">
        <f t="shared" si="21"/>
        <v>-16.840292660104293</v>
      </c>
      <c r="K1276" s="3">
        <f t="shared" si="22"/>
        <v>-7.7755033054187912</v>
      </c>
      <c r="L1276" s="3">
        <f t="shared" si="23"/>
        <v>-69.267868167534161</v>
      </c>
      <c r="M1276" s="3">
        <f t="shared" si="24"/>
        <v>-13.58298309591499</v>
      </c>
      <c r="N1276" s="3" t="e">
        <f>(-0.25*B1251-#REF!)/0.5</f>
        <v>#REF!</v>
      </c>
      <c r="O1276" s="3" t="e">
        <f>#REF!/#REF!</f>
        <v>#REF!</v>
      </c>
      <c r="P1276" s="3" t="e">
        <f>-0.5*B1251-#REF!</f>
        <v>#REF!</v>
      </c>
    </row>
    <row r="1277" spans="10:16" x14ac:dyDescent="0.25">
      <c r="J1277" s="3">
        <f t="shared" si="21"/>
        <v>-16.840292660104293</v>
      </c>
      <c r="K1277" s="3">
        <f t="shared" si="22"/>
        <v>-7.7755033054187912</v>
      </c>
      <c r="L1277" s="3">
        <f t="shared" si="23"/>
        <v>-69.267868167534161</v>
      </c>
      <c r="M1277" s="3">
        <f t="shared" si="24"/>
        <v>-13.58298309591499</v>
      </c>
      <c r="N1277" s="3" t="e">
        <f>(-0.25*B1252-#REF!)/0.5</f>
        <v>#REF!</v>
      </c>
      <c r="O1277" s="3" t="e">
        <f>#REF!/#REF!</f>
        <v>#REF!</v>
      </c>
      <c r="P1277" s="3" t="e">
        <f>-0.5*B1252-#REF!</f>
        <v>#REF!</v>
      </c>
    </row>
    <row r="1278" spans="10:16" x14ac:dyDescent="0.25">
      <c r="J1278" s="3">
        <f t="shared" si="21"/>
        <v>-16.840292660104293</v>
      </c>
      <c r="K1278" s="3">
        <f t="shared" si="22"/>
        <v>-7.7755033054187912</v>
      </c>
      <c r="L1278" s="3">
        <f t="shared" si="23"/>
        <v>-69.267868167534161</v>
      </c>
      <c r="M1278" s="3">
        <f t="shared" si="24"/>
        <v>-13.58298309591499</v>
      </c>
      <c r="N1278" s="3" t="e">
        <f>(-0.25*B1253-#REF!)/0.5</f>
        <v>#REF!</v>
      </c>
      <c r="O1278" s="3" t="e">
        <f>#REF!/#REF!</f>
        <v>#REF!</v>
      </c>
      <c r="P1278" s="3" t="e">
        <f>-0.5*B1253-#REF!</f>
        <v>#REF!</v>
      </c>
    </row>
    <row r="1279" spans="10:16" x14ac:dyDescent="0.25">
      <c r="J1279" s="3">
        <f t="shared" si="21"/>
        <v>-16.840292660104293</v>
      </c>
      <c r="K1279" s="3">
        <f t="shared" si="22"/>
        <v>-7.7755033054187912</v>
      </c>
      <c r="L1279" s="3">
        <f t="shared" si="23"/>
        <v>-69.267868167534161</v>
      </c>
      <c r="M1279" s="3">
        <f t="shared" si="24"/>
        <v>-13.58298309591499</v>
      </c>
      <c r="N1279" s="3" t="e">
        <f>(-0.25*B1254-#REF!)/0.5</f>
        <v>#REF!</v>
      </c>
      <c r="O1279" s="3" t="e">
        <f>#REF!/#REF!</f>
        <v>#REF!</v>
      </c>
      <c r="P1279" s="3" t="e">
        <f>-0.5*B1254-#REF!</f>
        <v>#REF!</v>
      </c>
    </row>
    <row r="1280" spans="10:16" x14ac:dyDescent="0.25">
      <c r="J1280" s="3">
        <f t="shared" si="21"/>
        <v>-16.840292660104293</v>
      </c>
      <c r="K1280" s="3">
        <f t="shared" si="22"/>
        <v>-7.7755033054187912</v>
      </c>
      <c r="L1280" s="3">
        <f t="shared" si="23"/>
        <v>-69.267868167534161</v>
      </c>
      <c r="M1280" s="3">
        <f t="shared" si="24"/>
        <v>-13.58298309591499</v>
      </c>
      <c r="N1280" s="3" t="e">
        <f>(-0.25*B1255-#REF!)/0.5</f>
        <v>#REF!</v>
      </c>
      <c r="O1280" s="3" t="e">
        <f>#REF!/#REF!</f>
        <v>#REF!</v>
      </c>
      <c r="P1280" s="3" t="e">
        <f>-0.5*B1255-#REF!</f>
        <v>#REF!</v>
      </c>
    </row>
    <row r="1281" spans="10:16" x14ac:dyDescent="0.25">
      <c r="J1281" s="3">
        <f t="shared" si="21"/>
        <v>-16.840292660104293</v>
      </c>
      <c r="K1281" s="3">
        <f t="shared" si="22"/>
        <v>-7.7755033054187912</v>
      </c>
      <c r="L1281" s="3">
        <f t="shared" si="23"/>
        <v>-69.267868167534161</v>
      </c>
      <c r="M1281" s="3">
        <f t="shared" si="24"/>
        <v>-13.58298309591499</v>
      </c>
      <c r="N1281" s="3" t="e">
        <f>(-0.25*B1256-#REF!)/0.5</f>
        <v>#REF!</v>
      </c>
      <c r="O1281" s="3" t="e">
        <f>#REF!/#REF!</f>
        <v>#REF!</v>
      </c>
      <c r="P1281" s="3" t="e">
        <f>-0.5*B1256-#REF!</f>
        <v>#REF!</v>
      </c>
    </row>
    <row r="1282" spans="10:16" x14ac:dyDescent="0.25">
      <c r="J1282" s="3">
        <f t="shared" si="21"/>
        <v>-16.840292660104293</v>
      </c>
      <c r="K1282" s="3">
        <f t="shared" si="22"/>
        <v>-7.7755033054187912</v>
      </c>
      <c r="L1282" s="3">
        <f t="shared" si="23"/>
        <v>-69.267868167534161</v>
      </c>
      <c r="M1282" s="3">
        <f t="shared" si="24"/>
        <v>-13.58298309591499</v>
      </c>
      <c r="N1282" s="3" t="e">
        <f>(-0.25*B1257-#REF!)/0.5</f>
        <v>#REF!</v>
      </c>
      <c r="O1282" s="3" t="e">
        <f>#REF!/#REF!</f>
        <v>#REF!</v>
      </c>
      <c r="P1282" s="3" t="e">
        <f>-0.5*B1257-#REF!</f>
        <v>#REF!</v>
      </c>
    </row>
    <row r="1283" spans="10:16" x14ac:dyDescent="0.25">
      <c r="J1283" s="3">
        <f t="shared" si="21"/>
        <v>-16.840292660104293</v>
      </c>
      <c r="K1283" s="3">
        <f t="shared" si="22"/>
        <v>-7.7755033054187912</v>
      </c>
      <c r="L1283" s="3">
        <f t="shared" si="23"/>
        <v>-69.267868167534161</v>
      </c>
      <c r="M1283" s="3">
        <f t="shared" si="24"/>
        <v>-13.58298309591499</v>
      </c>
      <c r="N1283" s="3" t="e">
        <f>(-0.25*B1258-#REF!)/0.5</f>
        <v>#REF!</v>
      </c>
      <c r="O1283" s="3" t="e">
        <f>#REF!/#REF!</f>
        <v>#REF!</v>
      </c>
      <c r="P1283" s="3" t="e">
        <f>-0.5*B1258-#REF!</f>
        <v>#REF!</v>
      </c>
    </row>
    <row r="1284" spans="10:16" x14ac:dyDescent="0.25">
      <c r="J1284" s="3">
        <f t="shared" si="21"/>
        <v>-16.840292660104293</v>
      </c>
      <c r="K1284" s="3">
        <f t="shared" si="22"/>
        <v>-7.7755033054187912</v>
      </c>
      <c r="L1284" s="3">
        <f t="shared" si="23"/>
        <v>-69.267868167534161</v>
      </c>
      <c r="M1284" s="3">
        <f t="shared" si="24"/>
        <v>-13.58298309591499</v>
      </c>
      <c r="N1284" s="3" t="e">
        <f>(-0.25*B1259-#REF!)/0.5</f>
        <v>#REF!</v>
      </c>
      <c r="O1284" s="3" t="e">
        <f>#REF!/#REF!</f>
        <v>#REF!</v>
      </c>
      <c r="P1284" s="3" t="e">
        <f>-0.5*B1259-#REF!</f>
        <v>#REF!</v>
      </c>
    </row>
    <row r="1285" spans="10:16" x14ac:dyDescent="0.25">
      <c r="J1285" s="3">
        <f t="shared" si="21"/>
        <v>-16.840292660104293</v>
      </c>
      <c r="K1285" s="3">
        <f t="shared" si="22"/>
        <v>-7.7755033054187912</v>
      </c>
      <c r="L1285" s="3">
        <f t="shared" si="23"/>
        <v>-69.267868167534161</v>
      </c>
      <c r="M1285" s="3">
        <f t="shared" si="24"/>
        <v>-13.58298309591499</v>
      </c>
      <c r="N1285" s="3" t="e">
        <f>(-0.25*B1260-#REF!)/0.5</f>
        <v>#REF!</v>
      </c>
      <c r="O1285" s="3" t="e">
        <f>#REF!/#REF!</f>
        <v>#REF!</v>
      </c>
      <c r="P1285" s="3" t="e">
        <f>-0.5*B1260-#REF!</f>
        <v>#REF!</v>
      </c>
    </row>
    <row r="1286" spans="10:16" x14ac:dyDescent="0.25">
      <c r="J1286" s="3">
        <f t="shared" si="21"/>
        <v>-16.840292660104293</v>
      </c>
      <c r="K1286" s="3">
        <f t="shared" si="22"/>
        <v>-7.7755033054187912</v>
      </c>
      <c r="L1286" s="3">
        <f t="shared" si="23"/>
        <v>-69.267868167534161</v>
      </c>
      <c r="M1286" s="3">
        <f t="shared" si="24"/>
        <v>-13.58298309591499</v>
      </c>
      <c r="N1286" s="3" t="e">
        <f>(-0.25*B1261-#REF!)/0.5</f>
        <v>#REF!</v>
      </c>
      <c r="O1286" s="3" t="e">
        <f>#REF!/#REF!</f>
        <v>#REF!</v>
      </c>
      <c r="P1286" s="3" t="e">
        <f>-0.5*B1261-#REF!</f>
        <v>#REF!</v>
      </c>
    </row>
    <row r="1287" spans="10:16" x14ac:dyDescent="0.25">
      <c r="J1287" s="3">
        <f t="shared" si="21"/>
        <v>-16.840292660104293</v>
      </c>
      <c r="K1287" s="3">
        <f t="shared" si="22"/>
        <v>-7.7755033054187912</v>
      </c>
      <c r="L1287" s="3">
        <f t="shared" si="23"/>
        <v>-69.267868167534161</v>
      </c>
      <c r="M1287" s="3">
        <f t="shared" si="24"/>
        <v>-13.58298309591499</v>
      </c>
      <c r="N1287" s="3" t="e">
        <f>(-0.25*B1262-#REF!)/0.5</f>
        <v>#REF!</v>
      </c>
      <c r="O1287" s="3" t="e">
        <f>#REF!/#REF!</f>
        <v>#REF!</v>
      </c>
      <c r="P1287" s="3" t="e">
        <f>-0.5*B1262-#REF!</f>
        <v>#REF!</v>
      </c>
    </row>
    <row r="1288" spans="10:16" x14ac:dyDescent="0.25">
      <c r="J1288" s="3">
        <f t="shared" si="21"/>
        <v>-16.840292660104293</v>
      </c>
      <c r="K1288" s="3">
        <f t="shared" si="22"/>
        <v>-7.7755033054187912</v>
      </c>
      <c r="L1288" s="3">
        <f t="shared" si="23"/>
        <v>-69.267868167534161</v>
      </c>
      <c r="M1288" s="3">
        <f t="shared" si="24"/>
        <v>-13.58298309591499</v>
      </c>
      <c r="N1288" s="3" t="e">
        <f>(-0.25*B1263-#REF!)/0.5</f>
        <v>#REF!</v>
      </c>
      <c r="O1288" s="3" t="e">
        <f>#REF!/#REF!</f>
        <v>#REF!</v>
      </c>
      <c r="P1288" s="3" t="e">
        <f>-0.5*B1263-#REF!</f>
        <v>#REF!</v>
      </c>
    </row>
    <row r="1289" spans="10:16" x14ac:dyDescent="0.25">
      <c r="J1289" s="3">
        <f t="shared" si="21"/>
        <v>-16.840292660104293</v>
      </c>
      <c r="K1289" s="3">
        <f t="shared" si="22"/>
        <v>-7.7755033054187912</v>
      </c>
      <c r="L1289" s="3">
        <f t="shared" si="23"/>
        <v>-69.267868167534161</v>
      </c>
      <c r="M1289" s="3">
        <f t="shared" si="24"/>
        <v>-13.58298309591499</v>
      </c>
      <c r="N1289" s="3" t="e">
        <f>(-0.25*B1264-#REF!)/0.5</f>
        <v>#REF!</v>
      </c>
      <c r="O1289" s="3" t="e">
        <f>#REF!/#REF!</f>
        <v>#REF!</v>
      </c>
      <c r="P1289" s="3" t="e">
        <f>-0.5*B1264-#REF!</f>
        <v>#REF!</v>
      </c>
    </row>
    <row r="1290" spans="10:16" x14ac:dyDescent="0.25">
      <c r="J1290" s="3">
        <f t="shared" si="21"/>
        <v>-16.840292660104293</v>
      </c>
      <c r="K1290" s="3">
        <f t="shared" si="22"/>
        <v>-7.7755033054187912</v>
      </c>
      <c r="L1290" s="3">
        <f t="shared" si="23"/>
        <v>-69.267868167534161</v>
      </c>
      <c r="M1290" s="3">
        <f t="shared" si="24"/>
        <v>-13.58298309591499</v>
      </c>
      <c r="N1290" s="3" t="e">
        <f>(-0.25*B1265-#REF!)/0.5</f>
        <v>#REF!</v>
      </c>
      <c r="O1290" s="3" t="e">
        <f>#REF!/#REF!</f>
        <v>#REF!</v>
      </c>
      <c r="P1290" s="3" t="e">
        <f>-0.5*B1265-#REF!</f>
        <v>#REF!</v>
      </c>
    </row>
    <row r="1291" spans="10:16" x14ac:dyDescent="0.25">
      <c r="J1291" s="3">
        <f t="shared" si="21"/>
        <v>-16.840292660104293</v>
      </c>
      <c r="K1291" s="3">
        <f t="shared" si="22"/>
        <v>-7.7755033054187912</v>
      </c>
      <c r="L1291" s="3">
        <f t="shared" si="23"/>
        <v>-69.267868167534161</v>
      </c>
      <c r="M1291" s="3">
        <f t="shared" si="24"/>
        <v>-13.58298309591499</v>
      </c>
      <c r="N1291" s="3" t="e">
        <f>(-0.25*B1266-#REF!)/0.5</f>
        <v>#REF!</v>
      </c>
      <c r="O1291" s="3" t="e">
        <f>#REF!/#REF!</f>
        <v>#REF!</v>
      </c>
      <c r="P1291" s="3" t="e">
        <f>-0.5*B1266-#REF!</f>
        <v>#REF!</v>
      </c>
    </row>
    <row r="1292" spans="10:16" x14ac:dyDescent="0.25">
      <c r="J1292" s="3">
        <f t="shared" si="21"/>
        <v>-16.840292660104293</v>
      </c>
      <c r="K1292" s="3">
        <f t="shared" si="22"/>
        <v>-7.7755033054187912</v>
      </c>
      <c r="L1292" s="3">
        <f t="shared" si="23"/>
        <v>-69.267868167534161</v>
      </c>
      <c r="M1292" s="3">
        <f t="shared" si="24"/>
        <v>-13.58298309591499</v>
      </c>
      <c r="N1292" s="3" t="e">
        <f>(-0.25*B1267-#REF!)/0.5</f>
        <v>#REF!</v>
      </c>
      <c r="O1292" s="3" t="e">
        <f>#REF!/#REF!</f>
        <v>#REF!</v>
      </c>
      <c r="P1292" s="3" t="e">
        <f>-0.5*B1267-#REF!</f>
        <v>#REF!</v>
      </c>
    </row>
    <row r="1293" spans="10:16" x14ac:dyDescent="0.25">
      <c r="J1293" s="3">
        <f t="shared" si="21"/>
        <v>-16.840292660104293</v>
      </c>
      <c r="K1293" s="3">
        <f t="shared" si="22"/>
        <v>-7.7755033054187912</v>
      </c>
      <c r="L1293" s="3">
        <f t="shared" si="23"/>
        <v>-69.267868167534161</v>
      </c>
      <c r="M1293" s="3">
        <f t="shared" si="24"/>
        <v>-13.58298309591499</v>
      </c>
      <c r="N1293" s="3" t="e">
        <f>(-0.25*B1268-#REF!)/0.5</f>
        <v>#REF!</v>
      </c>
      <c r="O1293" s="3" t="e">
        <f>#REF!/#REF!</f>
        <v>#REF!</v>
      </c>
      <c r="P1293" s="3" t="e">
        <f>-0.5*B1268-#REF!</f>
        <v>#REF!</v>
      </c>
    </row>
    <row r="1294" spans="10:16" x14ac:dyDescent="0.25">
      <c r="J1294" s="3">
        <f t="shared" si="21"/>
        <v>-16.840292660104293</v>
      </c>
      <c r="K1294" s="3">
        <f t="shared" si="22"/>
        <v>-7.7755033054187912</v>
      </c>
      <c r="L1294" s="3">
        <f t="shared" si="23"/>
        <v>-69.267868167534161</v>
      </c>
      <c r="M1294" s="3">
        <f t="shared" si="24"/>
        <v>-13.58298309591499</v>
      </c>
      <c r="N1294" s="3" t="e">
        <f>(-0.25*B1269-#REF!)/0.5</f>
        <v>#REF!</v>
      </c>
      <c r="O1294" s="3" t="e">
        <f>#REF!/#REF!</f>
        <v>#REF!</v>
      </c>
      <c r="P1294" s="3" t="e">
        <f>-0.5*B1269-#REF!</f>
        <v>#REF!</v>
      </c>
    </row>
    <row r="1295" spans="10:16" x14ac:dyDescent="0.25">
      <c r="J1295" s="3">
        <f t="shared" si="21"/>
        <v>-16.840292660104293</v>
      </c>
      <c r="K1295" s="3">
        <f t="shared" si="22"/>
        <v>-7.7755033054187912</v>
      </c>
      <c r="L1295" s="3">
        <f t="shared" si="23"/>
        <v>-69.267868167534161</v>
      </c>
      <c r="M1295" s="3">
        <f t="shared" si="24"/>
        <v>-13.58298309591499</v>
      </c>
      <c r="N1295" s="3" t="e">
        <f>(-0.25*B1270-#REF!)/0.5</f>
        <v>#REF!</v>
      </c>
      <c r="O1295" s="3" t="e">
        <f>#REF!/#REF!</f>
        <v>#REF!</v>
      </c>
      <c r="P1295" s="3" t="e">
        <f>-0.5*B1270-#REF!</f>
        <v>#REF!</v>
      </c>
    </row>
    <row r="1296" spans="10:16" x14ac:dyDescent="0.25">
      <c r="J1296" s="3">
        <f t="shared" si="21"/>
        <v>-16.840292660104293</v>
      </c>
      <c r="K1296" s="3">
        <f t="shared" si="22"/>
        <v>-7.7755033054187912</v>
      </c>
      <c r="L1296" s="3">
        <f t="shared" si="23"/>
        <v>-69.267868167534161</v>
      </c>
      <c r="M1296" s="3">
        <f t="shared" si="24"/>
        <v>-13.58298309591499</v>
      </c>
      <c r="N1296" s="3" t="e">
        <f>(-0.25*B1271-#REF!)/0.5</f>
        <v>#REF!</v>
      </c>
      <c r="O1296" s="3" t="e">
        <f>#REF!/#REF!</f>
        <v>#REF!</v>
      </c>
      <c r="P1296" s="3" t="e">
        <f>-0.5*B1271-#REF!</f>
        <v>#REF!</v>
      </c>
    </row>
    <row r="1297" spans="10:16" x14ac:dyDescent="0.25">
      <c r="J1297" s="3">
        <f t="shared" si="21"/>
        <v>-16.840292660104293</v>
      </c>
      <c r="K1297" s="3">
        <f t="shared" si="22"/>
        <v>-7.7755033054187912</v>
      </c>
      <c r="L1297" s="3">
        <f t="shared" si="23"/>
        <v>-69.267868167534161</v>
      </c>
      <c r="M1297" s="3">
        <f t="shared" si="24"/>
        <v>-13.58298309591499</v>
      </c>
      <c r="N1297" s="3" t="e">
        <f>(-0.25*B1272-#REF!)/0.5</f>
        <v>#REF!</v>
      </c>
      <c r="O1297" s="3" t="e">
        <f>#REF!/#REF!</f>
        <v>#REF!</v>
      </c>
      <c r="P1297" s="3" t="e">
        <f>-0.5*B1272-#REF!</f>
        <v>#REF!</v>
      </c>
    </row>
    <row r="1298" spans="10:16" x14ac:dyDescent="0.25">
      <c r="J1298" s="3">
        <f t="shared" si="21"/>
        <v>-16.840292660104293</v>
      </c>
      <c r="K1298" s="3">
        <f t="shared" si="22"/>
        <v>-7.7755033054187912</v>
      </c>
      <c r="L1298" s="3">
        <f t="shared" si="23"/>
        <v>-69.267868167534161</v>
      </c>
      <c r="M1298" s="3">
        <f t="shared" si="24"/>
        <v>-13.58298309591499</v>
      </c>
      <c r="N1298" s="3" t="e">
        <f>(-0.25*B1273-#REF!)/0.5</f>
        <v>#REF!</v>
      </c>
      <c r="O1298" s="3" t="e">
        <f>#REF!/#REF!</f>
        <v>#REF!</v>
      </c>
      <c r="P1298" s="3" t="e">
        <f>-0.5*B1273-#REF!</f>
        <v>#REF!</v>
      </c>
    </row>
    <row r="1299" spans="10:16" x14ac:dyDescent="0.25">
      <c r="J1299" s="3">
        <f t="shared" si="21"/>
        <v>-16.840292660104293</v>
      </c>
      <c r="K1299" s="3">
        <f t="shared" si="22"/>
        <v>-7.7755033054187912</v>
      </c>
      <c r="L1299" s="3">
        <f t="shared" si="23"/>
        <v>-69.267868167534161</v>
      </c>
      <c r="M1299" s="3">
        <f t="shared" si="24"/>
        <v>-13.58298309591499</v>
      </c>
      <c r="N1299" s="3" t="e">
        <f>(-0.25*B1274-#REF!)/0.5</f>
        <v>#REF!</v>
      </c>
      <c r="O1299" s="3" t="e">
        <f>#REF!/#REF!</f>
        <v>#REF!</v>
      </c>
      <c r="P1299" s="3" t="e">
        <f>-0.5*B1274-#REF!</f>
        <v>#REF!</v>
      </c>
    </row>
    <row r="1300" spans="10:16" x14ac:dyDescent="0.25">
      <c r="J1300" s="3">
        <f t="shared" si="21"/>
        <v>-16.840292660104293</v>
      </c>
      <c r="K1300" s="3">
        <f t="shared" si="22"/>
        <v>-7.7755033054187912</v>
      </c>
      <c r="L1300" s="3">
        <f t="shared" si="23"/>
        <v>-69.267868167534161</v>
      </c>
      <c r="M1300" s="3">
        <f t="shared" si="24"/>
        <v>-13.58298309591499</v>
      </c>
      <c r="N1300" s="3" t="e">
        <f>(-0.25*B1275-#REF!)/0.5</f>
        <v>#REF!</v>
      </c>
      <c r="O1300" s="3" t="e">
        <f>#REF!/#REF!</f>
        <v>#REF!</v>
      </c>
      <c r="P1300" s="3" t="e">
        <f>-0.5*B1275-#REF!</f>
        <v>#REF!</v>
      </c>
    </row>
    <row r="1301" spans="10:16" x14ac:dyDescent="0.25">
      <c r="J1301" s="3">
        <f t="shared" si="21"/>
        <v>-16.840292660104293</v>
      </c>
      <c r="K1301" s="3">
        <f t="shared" si="22"/>
        <v>-7.7755033054187912</v>
      </c>
      <c r="L1301" s="3">
        <f t="shared" si="23"/>
        <v>-69.267868167534161</v>
      </c>
      <c r="M1301" s="3">
        <f t="shared" si="24"/>
        <v>-13.58298309591499</v>
      </c>
      <c r="N1301" s="3" t="e">
        <f>(-0.25*B1276-#REF!)/0.5</f>
        <v>#REF!</v>
      </c>
      <c r="O1301" s="3" t="e">
        <f>#REF!/#REF!</f>
        <v>#REF!</v>
      </c>
      <c r="P1301" s="3" t="e">
        <f>-0.5*B1276-#REF!</f>
        <v>#REF!</v>
      </c>
    </row>
    <row r="1302" spans="10:16" x14ac:dyDescent="0.25">
      <c r="J1302" s="3">
        <f t="shared" si="21"/>
        <v>-16.840292660104293</v>
      </c>
      <c r="K1302" s="3">
        <f t="shared" si="22"/>
        <v>-7.7755033054187912</v>
      </c>
      <c r="L1302" s="3">
        <f t="shared" si="23"/>
        <v>-69.267868167534161</v>
      </c>
      <c r="M1302" s="3">
        <f t="shared" si="24"/>
        <v>-13.58298309591499</v>
      </c>
      <c r="N1302" s="3" t="e">
        <f>(-0.25*B1277-#REF!)/0.5</f>
        <v>#REF!</v>
      </c>
      <c r="O1302" s="3" t="e">
        <f>#REF!/#REF!</f>
        <v>#REF!</v>
      </c>
      <c r="P1302" s="3" t="e">
        <f>-0.5*B1277-#REF!</f>
        <v>#REF!</v>
      </c>
    </row>
    <row r="1303" spans="10:16" x14ac:dyDescent="0.25">
      <c r="J1303" s="3">
        <f t="shared" si="21"/>
        <v>-16.840292660104293</v>
      </c>
      <c r="K1303" s="3">
        <f t="shared" si="22"/>
        <v>-7.7755033054187912</v>
      </c>
      <c r="L1303" s="3">
        <f t="shared" si="23"/>
        <v>-69.267868167534161</v>
      </c>
      <c r="M1303" s="3">
        <f t="shared" si="24"/>
        <v>-13.58298309591499</v>
      </c>
      <c r="N1303" s="3" t="e">
        <f>(-0.25*B1278-#REF!)/0.5</f>
        <v>#REF!</v>
      </c>
      <c r="O1303" s="3" t="e">
        <f>#REF!/#REF!</f>
        <v>#REF!</v>
      </c>
      <c r="P1303" s="3" t="e">
        <f>-0.5*B1278-#REF!</f>
        <v>#REF!</v>
      </c>
    </row>
    <row r="1304" spans="10:16" x14ac:dyDescent="0.25">
      <c r="J1304" s="3">
        <f t="shared" si="21"/>
        <v>-16.840292660104293</v>
      </c>
      <c r="K1304" s="3">
        <f t="shared" si="22"/>
        <v>-7.7755033054187912</v>
      </c>
      <c r="L1304" s="3">
        <f t="shared" si="23"/>
        <v>-69.267868167534161</v>
      </c>
      <c r="M1304" s="3">
        <f t="shared" si="24"/>
        <v>-13.58298309591499</v>
      </c>
      <c r="N1304" s="3" t="e">
        <f>(-0.25*B1279-#REF!)/0.5</f>
        <v>#REF!</v>
      </c>
      <c r="O1304" s="3" t="e">
        <f>#REF!/#REF!</f>
        <v>#REF!</v>
      </c>
      <c r="P1304" s="3" t="e">
        <f>-0.5*B1279-#REF!</f>
        <v>#REF!</v>
      </c>
    </row>
    <row r="1305" spans="10:16" x14ac:dyDescent="0.25">
      <c r="J1305" s="3">
        <f t="shared" si="21"/>
        <v>-16.840292660104293</v>
      </c>
      <c r="K1305" s="3">
        <f t="shared" si="22"/>
        <v>-7.7755033054187912</v>
      </c>
      <c r="L1305" s="3">
        <f t="shared" si="23"/>
        <v>-69.267868167534161</v>
      </c>
      <c r="M1305" s="3">
        <f t="shared" si="24"/>
        <v>-13.58298309591499</v>
      </c>
      <c r="N1305" s="3" t="e">
        <f>(-0.25*B1280-#REF!)/0.5</f>
        <v>#REF!</v>
      </c>
      <c r="O1305" s="3" t="e">
        <f>#REF!/#REF!</f>
        <v>#REF!</v>
      </c>
      <c r="P1305" s="3" t="e">
        <f>-0.5*B1280-#REF!</f>
        <v>#REF!</v>
      </c>
    </row>
    <row r="1306" spans="10:16" x14ac:dyDescent="0.25">
      <c r="J1306" s="3">
        <f t="shared" si="21"/>
        <v>-16.840292660104293</v>
      </c>
      <c r="K1306" s="3">
        <f t="shared" si="22"/>
        <v>-7.7755033054187912</v>
      </c>
      <c r="L1306" s="3">
        <f t="shared" si="23"/>
        <v>-69.267868167534161</v>
      </c>
      <c r="M1306" s="3">
        <f t="shared" si="24"/>
        <v>-13.58298309591499</v>
      </c>
      <c r="N1306" s="3" t="e">
        <f>(-0.25*B1281-#REF!)/0.5</f>
        <v>#REF!</v>
      </c>
      <c r="O1306" s="3" t="e">
        <f>#REF!/#REF!</f>
        <v>#REF!</v>
      </c>
      <c r="P1306" s="3" t="e">
        <f>-0.5*B1281-#REF!</f>
        <v>#REF!</v>
      </c>
    </row>
    <row r="1307" spans="10:16" x14ac:dyDescent="0.25">
      <c r="J1307" s="3">
        <f t="shared" si="21"/>
        <v>-16.840292660104293</v>
      </c>
      <c r="K1307" s="3">
        <f t="shared" si="22"/>
        <v>-7.7755033054187912</v>
      </c>
      <c r="L1307" s="3">
        <f t="shared" si="23"/>
        <v>-69.267868167534161</v>
      </c>
      <c r="M1307" s="3">
        <f t="shared" si="24"/>
        <v>-13.58298309591499</v>
      </c>
      <c r="N1307" s="3" t="e">
        <f>(-0.25*B1282-#REF!)/0.5</f>
        <v>#REF!</v>
      </c>
      <c r="O1307" s="3" t="e">
        <f>#REF!/#REF!</f>
        <v>#REF!</v>
      </c>
      <c r="P1307" s="3" t="e">
        <f>-0.5*B1282-#REF!</f>
        <v>#REF!</v>
      </c>
    </row>
    <row r="1308" spans="10:16" x14ac:dyDescent="0.25">
      <c r="J1308" s="3">
        <f t="shared" si="21"/>
        <v>-16.840292660104293</v>
      </c>
      <c r="K1308" s="3">
        <f t="shared" si="22"/>
        <v>-7.7755033054187912</v>
      </c>
      <c r="L1308" s="3">
        <f t="shared" si="23"/>
        <v>-69.267868167534161</v>
      </c>
      <c r="M1308" s="3">
        <f t="shared" si="24"/>
        <v>-13.58298309591499</v>
      </c>
      <c r="N1308" s="3" t="e">
        <f>(-0.25*B1283-#REF!)/0.5</f>
        <v>#REF!</v>
      </c>
      <c r="O1308" s="3" t="e">
        <f>#REF!/#REF!</f>
        <v>#REF!</v>
      </c>
      <c r="P1308" s="3" t="e">
        <f>-0.5*B1283-#REF!</f>
        <v>#REF!</v>
      </c>
    </row>
    <row r="1309" spans="10:16" x14ac:dyDescent="0.25">
      <c r="J1309" s="3">
        <f t="shared" si="21"/>
        <v>-16.840292660104293</v>
      </c>
      <c r="K1309" s="3">
        <f t="shared" si="22"/>
        <v>-7.7755033054187912</v>
      </c>
      <c r="L1309" s="3">
        <f t="shared" si="23"/>
        <v>-69.267868167534161</v>
      </c>
      <c r="M1309" s="3">
        <f t="shared" si="24"/>
        <v>-13.58298309591499</v>
      </c>
      <c r="N1309" s="3" t="e">
        <f>(-0.25*B1284-#REF!)/0.5</f>
        <v>#REF!</v>
      </c>
      <c r="O1309" s="3" t="e">
        <f>#REF!/#REF!</f>
        <v>#REF!</v>
      </c>
      <c r="P1309" s="3" t="e">
        <f>-0.5*B1284-#REF!</f>
        <v>#REF!</v>
      </c>
    </row>
    <row r="1310" spans="10:16" x14ac:dyDescent="0.25">
      <c r="J1310" s="3">
        <f t="shared" si="21"/>
        <v>-16.840292660104293</v>
      </c>
      <c r="K1310" s="3">
        <f t="shared" si="22"/>
        <v>-7.7755033054187912</v>
      </c>
      <c r="L1310" s="3">
        <f t="shared" si="23"/>
        <v>-69.267868167534161</v>
      </c>
      <c r="M1310" s="3">
        <f t="shared" si="24"/>
        <v>-13.58298309591499</v>
      </c>
      <c r="N1310" s="3" t="e">
        <f>(-0.25*B1285-#REF!)/0.5</f>
        <v>#REF!</v>
      </c>
      <c r="O1310" s="3" t="e">
        <f>#REF!/#REF!</f>
        <v>#REF!</v>
      </c>
      <c r="P1310" s="3" t="e">
        <f>-0.5*B1285-#REF!</f>
        <v>#REF!</v>
      </c>
    </row>
    <row r="1311" spans="10:16" x14ac:dyDescent="0.25">
      <c r="J1311" s="3">
        <f t="shared" si="21"/>
        <v>-16.840292660104293</v>
      </c>
      <c r="K1311" s="3">
        <f t="shared" si="22"/>
        <v>-7.7755033054187912</v>
      </c>
      <c r="L1311" s="3">
        <f t="shared" si="23"/>
        <v>-69.267868167534161</v>
      </c>
      <c r="M1311" s="3">
        <f t="shared" si="24"/>
        <v>-13.58298309591499</v>
      </c>
      <c r="N1311" s="3" t="e">
        <f>(-0.25*B1286-#REF!)/0.5</f>
        <v>#REF!</v>
      </c>
      <c r="O1311" s="3" t="e">
        <f>#REF!/#REF!</f>
        <v>#REF!</v>
      </c>
      <c r="P1311" s="3" t="e">
        <f>-0.5*B1286-#REF!</f>
        <v>#REF!</v>
      </c>
    </row>
    <row r="1312" spans="10:16" x14ac:dyDescent="0.25">
      <c r="J1312" s="3">
        <f t="shared" si="21"/>
        <v>-16.840292660104293</v>
      </c>
      <c r="K1312" s="3">
        <f t="shared" si="22"/>
        <v>-7.7755033054187912</v>
      </c>
      <c r="L1312" s="3">
        <f t="shared" si="23"/>
        <v>-69.267868167534161</v>
      </c>
      <c r="M1312" s="3">
        <f t="shared" si="24"/>
        <v>-13.58298309591499</v>
      </c>
      <c r="N1312" s="3" t="e">
        <f>(-0.25*B1287-#REF!)/0.5</f>
        <v>#REF!</v>
      </c>
      <c r="O1312" s="3" t="e">
        <f>#REF!/#REF!</f>
        <v>#REF!</v>
      </c>
      <c r="P1312" s="3" t="e">
        <f>-0.5*B1287-#REF!</f>
        <v>#REF!</v>
      </c>
    </row>
    <row r="1313" spans="10:16" x14ac:dyDescent="0.25">
      <c r="J1313" s="3">
        <f t="shared" si="21"/>
        <v>-16.840292660104293</v>
      </c>
      <c r="K1313" s="3">
        <f t="shared" si="22"/>
        <v>-7.7755033054187912</v>
      </c>
      <c r="L1313" s="3">
        <f t="shared" si="23"/>
        <v>-69.267868167534161</v>
      </c>
      <c r="M1313" s="3">
        <f t="shared" si="24"/>
        <v>-13.58298309591499</v>
      </c>
      <c r="N1313" s="3" t="e">
        <f>(-0.25*B1288-#REF!)/0.5</f>
        <v>#REF!</v>
      </c>
      <c r="O1313" s="3" t="e">
        <f>#REF!/#REF!</f>
        <v>#REF!</v>
      </c>
      <c r="P1313" s="3" t="e">
        <f>-0.5*B1288-#REF!</f>
        <v>#REF!</v>
      </c>
    </row>
    <row r="1314" spans="10:16" x14ac:dyDescent="0.25">
      <c r="J1314" s="3">
        <f t="shared" si="21"/>
        <v>-16.840292660104293</v>
      </c>
      <c r="K1314" s="3">
        <f t="shared" si="22"/>
        <v>-7.7755033054187912</v>
      </c>
      <c r="L1314" s="3">
        <f t="shared" si="23"/>
        <v>-69.267868167534161</v>
      </c>
      <c r="M1314" s="3">
        <f t="shared" si="24"/>
        <v>-13.58298309591499</v>
      </c>
      <c r="N1314" s="3" t="e">
        <f>(-0.25*B1289-#REF!)/0.5</f>
        <v>#REF!</v>
      </c>
      <c r="O1314" s="3" t="e">
        <f>#REF!/#REF!</f>
        <v>#REF!</v>
      </c>
      <c r="P1314" s="3" t="e">
        <f>-0.5*B1289-#REF!</f>
        <v>#REF!</v>
      </c>
    </row>
    <row r="1315" spans="10:16" x14ac:dyDescent="0.25">
      <c r="J1315" s="3">
        <f t="shared" si="21"/>
        <v>-16.840292660104293</v>
      </c>
      <c r="K1315" s="3">
        <f t="shared" si="22"/>
        <v>-7.7755033054187912</v>
      </c>
      <c r="L1315" s="3">
        <f t="shared" si="23"/>
        <v>-69.267868167534161</v>
      </c>
      <c r="M1315" s="3">
        <f t="shared" si="24"/>
        <v>-13.58298309591499</v>
      </c>
      <c r="N1315" s="3" t="e">
        <f>(-0.25*B1290-#REF!)/0.5</f>
        <v>#REF!</v>
      </c>
      <c r="O1315" s="3" t="e">
        <f>#REF!/#REF!</f>
        <v>#REF!</v>
      </c>
      <c r="P1315" s="3" t="e">
        <f>-0.5*B1290-#REF!</f>
        <v>#REF!</v>
      </c>
    </row>
    <row r="1316" spans="10:16" x14ac:dyDescent="0.25">
      <c r="J1316" s="3">
        <f t="shared" si="21"/>
        <v>-16.840292660104293</v>
      </c>
      <c r="K1316" s="3">
        <f t="shared" si="22"/>
        <v>-7.7755033054187912</v>
      </c>
      <c r="L1316" s="3">
        <f t="shared" si="23"/>
        <v>-69.267868167534161</v>
      </c>
      <c r="M1316" s="3">
        <f t="shared" si="24"/>
        <v>-13.58298309591499</v>
      </c>
      <c r="N1316" s="3" t="e">
        <f>(-0.25*B1291-#REF!)/0.5</f>
        <v>#REF!</v>
      </c>
      <c r="O1316" s="3" t="e">
        <f>#REF!/#REF!</f>
        <v>#REF!</v>
      </c>
      <c r="P1316" s="3" t="e">
        <f>-0.5*B1291-#REF!</f>
        <v>#REF!</v>
      </c>
    </row>
    <row r="1317" spans="10:16" x14ac:dyDescent="0.25">
      <c r="J1317" s="3">
        <f t="shared" si="21"/>
        <v>-16.840292660104293</v>
      </c>
      <c r="K1317" s="3">
        <f t="shared" si="22"/>
        <v>-7.7755033054187912</v>
      </c>
      <c r="L1317" s="3">
        <f t="shared" si="23"/>
        <v>-69.267868167534161</v>
      </c>
      <c r="M1317" s="3">
        <f t="shared" si="24"/>
        <v>-13.58298309591499</v>
      </c>
      <c r="N1317" s="3" t="e">
        <f>(-0.25*B1292-#REF!)/0.5</f>
        <v>#REF!</v>
      </c>
      <c r="O1317" s="3" t="e">
        <f>#REF!/#REF!</f>
        <v>#REF!</v>
      </c>
      <c r="P1317" s="3" t="e">
        <f>-0.5*B1292-#REF!</f>
        <v>#REF!</v>
      </c>
    </row>
    <row r="1318" spans="10:16" x14ac:dyDescent="0.25">
      <c r="J1318" s="3">
        <f t="shared" si="21"/>
        <v>-16.840292660104293</v>
      </c>
      <c r="K1318" s="3">
        <f t="shared" si="22"/>
        <v>-7.7755033054187912</v>
      </c>
      <c r="L1318" s="3">
        <f t="shared" si="23"/>
        <v>-69.267868167534161</v>
      </c>
      <c r="M1318" s="3">
        <f t="shared" si="24"/>
        <v>-13.58298309591499</v>
      </c>
      <c r="N1318" s="3" t="e">
        <f>(-0.25*B1293-#REF!)/0.5</f>
        <v>#REF!</v>
      </c>
      <c r="O1318" s="3" t="e">
        <f>#REF!/#REF!</f>
        <v>#REF!</v>
      </c>
      <c r="P1318" s="3" t="e">
        <f>-0.5*B1293-#REF!</f>
        <v>#REF!</v>
      </c>
    </row>
    <row r="1319" spans="10:16" x14ac:dyDescent="0.25">
      <c r="J1319" s="3">
        <f t="shared" si="21"/>
        <v>-16.840292660104293</v>
      </c>
      <c r="K1319" s="3">
        <f t="shared" si="22"/>
        <v>-7.7755033054187912</v>
      </c>
      <c r="L1319" s="3">
        <f t="shared" si="23"/>
        <v>-69.267868167534161</v>
      </c>
      <c r="M1319" s="3">
        <f t="shared" si="24"/>
        <v>-13.58298309591499</v>
      </c>
      <c r="N1319" s="3" t="e">
        <f>(-0.25*B1294-#REF!)/0.5</f>
        <v>#REF!</v>
      </c>
      <c r="O1319" s="3" t="e">
        <f>#REF!/#REF!</f>
        <v>#REF!</v>
      </c>
      <c r="P1319" s="3" t="e">
        <f>-0.5*B1294-#REF!</f>
        <v>#REF!</v>
      </c>
    </row>
    <row r="1320" spans="10:16" x14ac:dyDescent="0.25">
      <c r="J1320" s="3">
        <f t="shared" si="21"/>
        <v>-16.840292660104293</v>
      </c>
      <c r="K1320" s="3">
        <f t="shared" si="22"/>
        <v>-7.7755033054187912</v>
      </c>
      <c r="L1320" s="3">
        <f t="shared" si="23"/>
        <v>-69.267868167534161</v>
      </c>
      <c r="M1320" s="3">
        <f t="shared" si="24"/>
        <v>-13.58298309591499</v>
      </c>
      <c r="N1320" s="3" t="e">
        <f>(-0.25*B1295-#REF!)/0.5</f>
        <v>#REF!</v>
      </c>
      <c r="O1320" s="3" t="e">
        <f>#REF!/#REF!</f>
        <v>#REF!</v>
      </c>
      <c r="P1320" s="3" t="e">
        <f>-0.5*B1295-#REF!</f>
        <v>#REF!</v>
      </c>
    </row>
    <row r="1321" spans="10:16" x14ac:dyDescent="0.25">
      <c r="J1321" s="3">
        <f t="shared" si="21"/>
        <v>-16.840292660104293</v>
      </c>
      <c r="K1321" s="3">
        <f t="shared" si="22"/>
        <v>-7.7755033054187912</v>
      </c>
      <c r="L1321" s="3">
        <f t="shared" si="23"/>
        <v>-69.267868167534161</v>
      </c>
      <c r="M1321" s="3">
        <f t="shared" si="24"/>
        <v>-13.58298309591499</v>
      </c>
      <c r="N1321" s="3" t="e">
        <f>(-0.25*B1296-#REF!)/0.5</f>
        <v>#REF!</v>
      </c>
      <c r="O1321" s="3" t="e">
        <f>#REF!/#REF!</f>
        <v>#REF!</v>
      </c>
      <c r="P1321" s="3" t="e">
        <f>-0.5*B1296-#REF!</f>
        <v>#REF!</v>
      </c>
    </row>
    <row r="1322" spans="10:16" x14ac:dyDescent="0.25">
      <c r="J1322" s="3">
        <f t="shared" si="21"/>
        <v>-16.840292660104293</v>
      </c>
      <c r="K1322" s="3">
        <f t="shared" si="22"/>
        <v>-7.7755033054187912</v>
      </c>
      <c r="L1322" s="3">
        <f t="shared" si="23"/>
        <v>-69.267868167534161</v>
      </c>
      <c r="M1322" s="3">
        <f t="shared" si="24"/>
        <v>-13.58298309591499</v>
      </c>
      <c r="N1322" s="3" t="e">
        <f>(-0.25*B1297-#REF!)/0.5</f>
        <v>#REF!</v>
      </c>
      <c r="O1322" s="3" t="e">
        <f>#REF!/#REF!</f>
        <v>#REF!</v>
      </c>
      <c r="P1322" s="3" t="e">
        <f>-0.5*B1297-#REF!</f>
        <v>#REF!</v>
      </c>
    </row>
    <row r="1323" spans="10:16" x14ac:dyDescent="0.25">
      <c r="J1323" s="3">
        <f t="shared" si="21"/>
        <v>-16.840292660104293</v>
      </c>
      <c r="K1323" s="3">
        <f t="shared" si="22"/>
        <v>-7.7755033054187912</v>
      </c>
      <c r="L1323" s="3">
        <f t="shared" si="23"/>
        <v>-69.267868167534161</v>
      </c>
      <c r="M1323" s="3">
        <f t="shared" si="24"/>
        <v>-13.58298309591499</v>
      </c>
      <c r="N1323" s="3" t="e">
        <f>(-0.25*B1298-#REF!)/0.5</f>
        <v>#REF!</v>
      </c>
      <c r="O1323" s="3" t="e">
        <f>#REF!/#REF!</f>
        <v>#REF!</v>
      </c>
      <c r="P1323" s="3" t="e">
        <f>-0.5*B1298-#REF!</f>
        <v>#REF!</v>
      </c>
    </row>
    <row r="1324" spans="10:16" x14ac:dyDescent="0.25">
      <c r="J1324" s="3">
        <f t="shared" si="21"/>
        <v>-16.840292660104293</v>
      </c>
      <c r="K1324" s="3">
        <f t="shared" si="22"/>
        <v>-7.7755033054187912</v>
      </c>
      <c r="L1324" s="3">
        <f t="shared" si="23"/>
        <v>-69.267868167534161</v>
      </c>
      <c r="M1324" s="3">
        <f t="shared" si="24"/>
        <v>-13.58298309591499</v>
      </c>
      <c r="N1324" s="3" t="e">
        <f>(-0.25*B1299-#REF!)/0.5</f>
        <v>#REF!</v>
      </c>
      <c r="O1324" s="3" t="e">
        <f>#REF!/#REF!</f>
        <v>#REF!</v>
      </c>
      <c r="P1324" s="3" t="e">
        <f>-0.5*B1299-#REF!</f>
        <v>#REF!</v>
      </c>
    </row>
    <row r="1325" spans="10:16" x14ac:dyDescent="0.25">
      <c r="J1325" s="3">
        <f t="shared" si="21"/>
        <v>-16.840292660104293</v>
      </c>
      <c r="K1325" s="3">
        <f t="shared" si="22"/>
        <v>-7.7755033054187912</v>
      </c>
      <c r="L1325" s="3">
        <f t="shared" si="23"/>
        <v>-69.267868167534161</v>
      </c>
      <c r="M1325" s="3">
        <f t="shared" si="24"/>
        <v>-13.58298309591499</v>
      </c>
      <c r="N1325" s="3" t="e">
        <f>(-0.25*B1300-#REF!)/0.5</f>
        <v>#REF!</v>
      </c>
      <c r="O1325" s="3" t="e">
        <f>#REF!/#REF!</f>
        <v>#REF!</v>
      </c>
      <c r="P1325" s="3" t="e">
        <f>-0.5*B1300-#REF!</f>
        <v>#REF!</v>
      </c>
    </row>
    <row r="1326" spans="10:16" x14ac:dyDescent="0.25">
      <c r="J1326" s="3">
        <f t="shared" si="21"/>
        <v>-16.840292660104293</v>
      </c>
      <c r="K1326" s="3">
        <f t="shared" si="22"/>
        <v>-7.7755033054187912</v>
      </c>
      <c r="L1326" s="3">
        <f t="shared" si="23"/>
        <v>-69.267868167534161</v>
      </c>
      <c r="M1326" s="3">
        <f t="shared" si="24"/>
        <v>-13.58298309591499</v>
      </c>
      <c r="N1326" s="3" t="e">
        <f>(-0.25*B1301-#REF!)/0.5</f>
        <v>#REF!</v>
      </c>
      <c r="O1326" s="3" t="e">
        <f>#REF!/#REF!</f>
        <v>#REF!</v>
      </c>
      <c r="P1326" s="3" t="e">
        <f>-0.5*B1301-#REF!</f>
        <v>#REF!</v>
      </c>
    </row>
    <row r="1327" spans="10:16" x14ac:dyDescent="0.25">
      <c r="J1327" s="3">
        <f t="shared" si="21"/>
        <v>-16.840292660104293</v>
      </c>
      <c r="K1327" s="3">
        <f t="shared" si="22"/>
        <v>-7.7755033054187912</v>
      </c>
      <c r="L1327" s="3">
        <f t="shared" si="23"/>
        <v>-69.267868167534161</v>
      </c>
      <c r="M1327" s="3">
        <f t="shared" si="24"/>
        <v>-13.58298309591499</v>
      </c>
      <c r="N1327" s="3" t="e">
        <f>(-0.25*B1302-#REF!)/0.5</f>
        <v>#REF!</v>
      </c>
      <c r="O1327" s="3" t="e">
        <f>#REF!/#REF!</f>
        <v>#REF!</v>
      </c>
      <c r="P1327" s="3" t="e">
        <f>-0.5*B1302-#REF!</f>
        <v>#REF!</v>
      </c>
    </row>
    <row r="1328" spans="10:16" x14ac:dyDescent="0.25">
      <c r="J1328" s="3">
        <f t="shared" si="21"/>
        <v>-16.840292660104293</v>
      </c>
      <c r="K1328" s="3">
        <f t="shared" si="22"/>
        <v>-7.7755033054187912</v>
      </c>
      <c r="L1328" s="3">
        <f t="shared" si="23"/>
        <v>-69.267868167534161</v>
      </c>
      <c r="M1328" s="3">
        <f t="shared" si="24"/>
        <v>-13.58298309591499</v>
      </c>
      <c r="N1328" s="3" t="e">
        <f>(-0.25*B1303-#REF!)/0.5</f>
        <v>#REF!</v>
      </c>
      <c r="O1328" s="3" t="e">
        <f>#REF!/#REF!</f>
        <v>#REF!</v>
      </c>
      <c r="P1328" s="3" t="e">
        <f>-0.5*B1303-#REF!</f>
        <v>#REF!</v>
      </c>
    </row>
    <row r="1329" spans="10:16" x14ac:dyDescent="0.25">
      <c r="J1329" s="3">
        <f t="shared" si="21"/>
        <v>-16.840292660104293</v>
      </c>
      <c r="K1329" s="3">
        <f t="shared" si="22"/>
        <v>-7.7755033054187912</v>
      </c>
      <c r="L1329" s="3">
        <f t="shared" si="23"/>
        <v>-69.267868167534161</v>
      </c>
      <c r="M1329" s="3">
        <f t="shared" si="24"/>
        <v>-13.58298309591499</v>
      </c>
      <c r="N1329" s="3" t="e">
        <f>(-0.25*B1304-#REF!)/0.5</f>
        <v>#REF!</v>
      </c>
      <c r="O1329" s="3" t="e">
        <f>#REF!/#REF!</f>
        <v>#REF!</v>
      </c>
      <c r="P1329" s="3" t="e">
        <f>-0.5*B1304-#REF!</f>
        <v>#REF!</v>
      </c>
    </row>
    <row r="1330" spans="10:16" x14ac:dyDescent="0.25">
      <c r="J1330" s="3">
        <f t="shared" si="21"/>
        <v>-16.840292660104293</v>
      </c>
      <c r="K1330" s="3">
        <f t="shared" si="22"/>
        <v>-7.7755033054187912</v>
      </c>
      <c r="L1330" s="3">
        <f t="shared" si="23"/>
        <v>-69.267868167534161</v>
      </c>
      <c r="M1330" s="3">
        <f t="shared" si="24"/>
        <v>-13.58298309591499</v>
      </c>
      <c r="N1330" s="3" t="e">
        <f>(-0.25*B1305-#REF!)/0.5</f>
        <v>#REF!</v>
      </c>
      <c r="O1330" s="3" t="e">
        <f>#REF!/#REF!</f>
        <v>#REF!</v>
      </c>
      <c r="P1330" s="3" t="e">
        <f>-0.5*B1305-#REF!</f>
        <v>#REF!</v>
      </c>
    </row>
    <row r="1331" spans="10:16" x14ac:dyDescent="0.25">
      <c r="J1331" s="3">
        <f t="shared" si="21"/>
        <v>-16.840292660104293</v>
      </c>
      <c r="K1331" s="3">
        <f t="shared" si="22"/>
        <v>-7.7755033054187912</v>
      </c>
      <c r="L1331" s="3">
        <f t="shared" si="23"/>
        <v>-69.267868167534161</v>
      </c>
      <c r="M1331" s="3">
        <f t="shared" si="24"/>
        <v>-13.58298309591499</v>
      </c>
      <c r="N1331" s="3" t="e">
        <f>(-0.25*B1306-#REF!)/0.5</f>
        <v>#REF!</v>
      </c>
      <c r="O1331" s="3" t="e">
        <f>#REF!/#REF!</f>
        <v>#REF!</v>
      </c>
      <c r="P1331" s="3" t="e">
        <f>-0.5*B1306-#REF!</f>
        <v>#REF!</v>
      </c>
    </row>
    <row r="1332" spans="10:16" x14ac:dyDescent="0.25">
      <c r="J1332" s="3">
        <f t="shared" si="21"/>
        <v>-16.840292660104293</v>
      </c>
      <c r="K1332" s="3">
        <f t="shared" si="22"/>
        <v>-7.7755033054187912</v>
      </c>
      <c r="L1332" s="3">
        <f t="shared" si="23"/>
        <v>-69.267868167534161</v>
      </c>
      <c r="M1332" s="3">
        <f t="shared" si="24"/>
        <v>-13.58298309591499</v>
      </c>
      <c r="N1332" s="3" t="e">
        <f>(-0.25*B1307-#REF!)/0.5</f>
        <v>#REF!</v>
      </c>
      <c r="O1332" s="3" t="e">
        <f>#REF!/#REF!</f>
        <v>#REF!</v>
      </c>
      <c r="P1332" s="3" t="e">
        <f>-0.5*B1307-#REF!</f>
        <v>#REF!</v>
      </c>
    </row>
    <row r="1333" spans="10:16" x14ac:dyDescent="0.25">
      <c r="J1333" s="3">
        <f t="shared" si="21"/>
        <v>-16.840292660104293</v>
      </c>
      <c r="K1333" s="3">
        <f t="shared" si="22"/>
        <v>-7.7755033054187912</v>
      </c>
      <c r="L1333" s="3">
        <f t="shared" si="23"/>
        <v>-69.267868167534161</v>
      </c>
      <c r="M1333" s="3">
        <f t="shared" si="24"/>
        <v>-13.58298309591499</v>
      </c>
      <c r="N1333" s="3" t="e">
        <f>(-0.25*B1308-#REF!)/0.5</f>
        <v>#REF!</v>
      </c>
      <c r="O1333" s="3" t="e">
        <f>#REF!/#REF!</f>
        <v>#REF!</v>
      </c>
      <c r="P1333" s="3" t="e">
        <f>-0.5*B1308-#REF!</f>
        <v>#REF!</v>
      </c>
    </row>
    <row r="1334" spans="10:16" x14ac:dyDescent="0.25">
      <c r="J1334" s="3">
        <f t="shared" si="21"/>
        <v>-16.840292660104293</v>
      </c>
      <c r="K1334" s="3">
        <f t="shared" si="22"/>
        <v>-7.7755033054187912</v>
      </c>
      <c r="L1334" s="3">
        <f t="shared" si="23"/>
        <v>-69.267868167534161</v>
      </c>
      <c r="M1334" s="3">
        <f t="shared" si="24"/>
        <v>-13.58298309591499</v>
      </c>
      <c r="N1334" s="3" t="e">
        <f>(-0.25*B1309-#REF!)/0.5</f>
        <v>#REF!</v>
      </c>
      <c r="O1334" s="3" t="e">
        <f>#REF!/#REF!</f>
        <v>#REF!</v>
      </c>
      <c r="P1334" s="3" t="e">
        <f>-0.5*B1309-#REF!</f>
        <v>#REF!</v>
      </c>
    </row>
    <row r="1335" spans="10:16" x14ac:dyDescent="0.25">
      <c r="J1335" s="3">
        <f t="shared" si="21"/>
        <v>-16.840292660104293</v>
      </c>
      <c r="K1335" s="3">
        <f t="shared" si="22"/>
        <v>-7.7755033054187912</v>
      </c>
      <c r="L1335" s="3">
        <f t="shared" si="23"/>
        <v>-69.267868167534161</v>
      </c>
      <c r="M1335" s="3">
        <f t="shared" si="24"/>
        <v>-13.58298309591499</v>
      </c>
      <c r="N1335" s="3" t="e">
        <f>(-0.25*B1310-#REF!)/0.5</f>
        <v>#REF!</v>
      </c>
      <c r="O1335" s="3" t="e">
        <f>#REF!/#REF!</f>
        <v>#REF!</v>
      </c>
      <c r="P1335" s="3" t="e">
        <f>-0.5*B1310-#REF!</f>
        <v>#REF!</v>
      </c>
    </row>
    <row r="1336" spans="10:16" x14ac:dyDescent="0.25">
      <c r="J1336" s="3">
        <f t="shared" si="21"/>
        <v>-16.840292660104293</v>
      </c>
      <c r="K1336" s="3">
        <f t="shared" si="22"/>
        <v>-7.7755033054187912</v>
      </c>
      <c r="L1336" s="3">
        <f t="shared" si="23"/>
        <v>-69.267868167534161</v>
      </c>
      <c r="M1336" s="3">
        <f t="shared" si="24"/>
        <v>-13.58298309591499</v>
      </c>
      <c r="N1336" s="3" t="e">
        <f>(-0.25*B1311-#REF!)/0.5</f>
        <v>#REF!</v>
      </c>
      <c r="O1336" s="3" t="e">
        <f>#REF!/#REF!</f>
        <v>#REF!</v>
      </c>
      <c r="P1336" s="3" t="e">
        <f>-0.5*B1311-#REF!</f>
        <v>#REF!</v>
      </c>
    </row>
    <row r="1337" spans="10:16" x14ac:dyDescent="0.25">
      <c r="J1337" s="3">
        <f t="shared" ref="J1337:J1400" si="25">$AC$16-B1312</f>
        <v>-16.840292660104293</v>
      </c>
      <c r="K1337" s="3">
        <f t="shared" ref="K1337:K1400" si="26">-0.5*B1312-$AC$17</f>
        <v>-7.7755033054187912</v>
      </c>
      <c r="L1337" s="3">
        <f t="shared" ref="L1337:L1400" si="27">-0.75*B1312-$AC$18</f>
        <v>-69.267868167534161</v>
      </c>
      <c r="M1337" s="3">
        <f t="shared" ref="M1337:M1400" si="28">-B1312-$AC$19</f>
        <v>-13.58298309591499</v>
      </c>
      <c r="N1337" s="3" t="e">
        <f>(-0.25*B1312-#REF!)/0.5</f>
        <v>#REF!</v>
      </c>
      <c r="O1337" s="3" t="e">
        <f>#REF!/#REF!</f>
        <v>#REF!</v>
      </c>
      <c r="P1337" s="3" t="e">
        <f>-0.5*B1312-#REF!</f>
        <v>#REF!</v>
      </c>
    </row>
    <row r="1338" spans="10:16" x14ac:dyDescent="0.25">
      <c r="J1338" s="3">
        <f t="shared" si="25"/>
        <v>-16.840292660104293</v>
      </c>
      <c r="K1338" s="3">
        <f t="shared" si="26"/>
        <v>-7.7755033054187912</v>
      </c>
      <c r="L1338" s="3">
        <f t="shared" si="27"/>
        <v>-69.267868167534161</v>
      </c>
      <c r="M1338" s="3">
        <f t="shared" si="28"/>
        <v>-13.58298309591499</v>
      </c>
      <c r="N1338" s="3" t="e">
        <f>(-0.25*B1313-#REF!)/0.5</f>
        <v>#REF!</v>
      </c>
      <c r="O1338" s="3" t="e">
        <f>#REF!/#REF!</f>
        <v>#REF!</v>
      </c>
      <c r="P1338" s="3" t="e">
        <f>-0.5*B1313-#REF!</f>
        <v>#REF!</v>
      </c>
    </row>
    <row r="1339" spans="10:16" x14ac:dyDescent="0.25">
      <c r="J1339" s="3">
        <f t="shared" si="25"/>
        <v>-16.840292660104293</v>
      </c>
      <c r="K1339" s="3">
        <f t="shared" si="26"/>
        <v>-7.7755033054187912</v>
      </c>
      <c r="L1339" s="3">
        <f t="shared" si="27"/>
        <v>-69.267868167534161</v>
      </c>
      <c r="M1339" s="3">
        <f t="shared" si="28"/>
        <v>-13.58298309591499</v>
      </c>
      <c r="N1339" s="3" t="e">
        <f>(-0.25*B1314-#REF!)/0.5</f>
        <v>#REF!</v>
      </c>
      <c r="O1339" s="3" t="e">
        <f>#REF!/#REF!</f>
        <v>#REF!</v>
      </c>
      <c r="P1339" s="3" t="e">
        <f>-0.5*B1314-#REF!</f>
        <v>#REF!</v>
      </c>
    </row>
    <row r="1340" spans="10:16" x14ac:dyDescent="0.25">
      <c r="J1340" s="3">
        <f t="shared" si="25"/>
        <v>-16.840292660104293</v>
      </c>
      <c r="K1340" s="3">
        <f t="shared" si="26"/>
        <v>-7.7755033054187912</v>
      </c>
      <c r="L1340" s="3">
        <f t="shared" si="27"/>
        <v>-69.267868167534161</v>
      </c>
      <c r="M1340" s="3">
        <f t="shared" si="28"/>
        <v>-13.58298309591499</v>
      </c>
      <c r="N1340" s="3" t="e">
        <f>(-0.25*B1315-#REF!)/0.5</f>
        <v>#REF!</v>
      </c>
      <c r="O1340" s="3" t="e">
        <f>#REF!/#REF!</f>
        <v>#REF!</v>
      </c>
      <c r="P1340" s="3" t="e">
        <f>-0.5*B1315-#REF!</f>
        <v>#REF!</v>
      </c>
    </row>
    <row r="1341" spans="10:16" x14ac:dyDescent="0.25">
      <c r="J1341" s="3">
        <f t="shared" si="25"/>
        <v>-16.840292660104293</v>
      </c>
      <c r="K1341" s="3">
        <f t="shared" si="26"/>
        <v>-7.7755033054187912</v>
      </c>
      <c r="L1341" s="3">
        <f t="shared" si="27"/>
        <v>-69.267868167534161</v>
      </c>
      <c r="M1341" s="3">
        <f t="shared" si="28"/>
        <v>-13.58298309591499</v>
      </c>
      <c r="N1341" s="3" t="e">
        <f>(-0.25*B1316-#REF!)/0.5</f>
        <v>#REF!</v>
      </c>
      <c r="O1341" s="3" t="e">
        <f>#REF!/#REF!</f>
        <v>#REF!</v>
      </c>
      <c r="P1341" s="3" t="e">
        <f>-0.5*B1316-#REF!</f>
        <v>#REF!</v>
      </c>
    </row>
    <row r="1342" spans="10:16" x14ac:dyDescent="0.25">
      <c r="J1342" s="3">
        <f t="shared" si="25"/>
        <v>-16.840292660104293</v>
      </c>
      <c r="K1342" s="3">
        <f t="shared" si="26"/>
        <v>-7.7755033054187912</v>
      </c>
      <c r="L1342" s="3">
        <f t="shared" si="27"/>
        <v>-69.267868167534161</v>
      </c>
      <c r="M1342" s="3">
        <f t="shared" si="28"/>
        <v>-13.58298309591499</v>
      </c>
      <c r="N1342" s="3" t="e">
        <f>(-0.25*B1317-#REF!)/0.5</f>
        <v>#REF!</v>
      </c>
      <c r="O1342" s="3" t="e">
        <f>#REF!/#REF!</f>
        <v>#REF!</v>
      </c>
      <c r="P1342" s="3" t="e">
        <f>-0.5*B1317-#REF!</f>
        <v>#REF!</v>
      </c>
    </row>
    <row r="1343" spans="10:16" x14ac:dyDescent="0.25">
      <c r="J1343" s="3">
        <f t="shared" si="25"/>
        <v>-16.840292660104293</v>
      </c>
      <c r="K1343" s="3">
        <f t="shared" si="26"/>
        <v>-7.7755033054187912</v>
      </c>
      <c r="L1343" s="3">
        <f t="shared" si="27"/>
        <v>-69.267868167534161</v>
      </c>
      <c r="M1343" s="3">
        <f t="shared" si="28"/>
        <v>-13.58298309591499</v>
      </c>
      <c r="N1343" s="3" t="e">
        <f>(-0.25*B1318-#REF!)/0.5</f>
        <v>#REF!</v>
      </c>
      <c r="O1343" s="3" t="e">
        <f>#REF!/#REF!</f>
        <v>#REF!</v>
      </c>
      <c r="P1343" s="3" t="e">
        <f>-0.5*B1318-#REF!</f>
        <v>#REF!</v>
      </c>
    </row>
    <row r="1344" spans="10:16" x14ac:dyDescent="0.25">
      <c r="J1344" s="3">
        <f t="shared" si="25"/>
        <v>-16.840292660104293</v>
      </c>
      <c r="K1344" s="3">
        <f t="shared" si="26"/>
        <v>-7.7755033054187912</v>
      </c>
      <c r="L1344" s="3">
        <f t="shared" si="27"/>
        <v>-69.267868167534161</v>
      </c>
      <c r="M1344" s="3">
        <f t="shared" si="28"/>
        <v>-13.58298309591499</v>
      </c>
      <c r="N1344" s="3" t="e">
        <f>(-0.25*B1319-#REF!)/0.5</f>
        <v>#REF!</v>
      </c>
      <c r="O1344" s="3" t="e">
        <f>#REF!/#REF!</f>
        <v>#REF!</v>
      </c>
      <c r="P1344" s="3" t="e">
        <f>-0.5*B1319-#REF!</f>
        <v>#REF!</v>
      </c>
    </row>
    <row r="1345" spans="10:16" x14ac:dyDescent="0.25">
      <c r="J1345" s="3">
        <f t="shared" si="25"/>
        <v>-16.840292660104293</v>
      </c>
      <c r="K1345" s="3">
        <f t="shared" si="26"/>
        <v>-7.7755033054187912</v>
      </c>
      <c r="L1345" s="3">
        <f t="shared" si="27"/>
        <v>-69.267868167534161</v>
      </c>
      <c r="M1345" s="3">
        <f t="shared" si="28"/>
        <v>-13.58298309591499</v>
      </c>
      <c r="N1345" s="3" t="e">
        <f>(-0.25*B1320-#REF!)/0.5</f>
        <v>#REF!</v>
      </c>
      <c r="O1345" s="3" t="e">
        <f>#REF!/#REF!</f>
        <v>#REF!</v>
      </c>
      <c r="P1345" s="3" t="e">
        <f>-0.5*B1320-#REF!</f>
        <v>#REF!</v>
      </c>
    </row>
    <row r="1346" spans="10:16" x14ac:dyDescent="0.25">
      <c r="J1346" s="3">
        <f t="shared" si="25"/>
        <v>-16.840292660104293</v>
      </c>
      <c r="K1346" s="3">
        <f t="shared" si="26"/>
        <v>-7.7755033054187912</v>
      </c>
      <c r="L1346" s="3">
        <f t="shared" si="27"/>
        <v>-69.267868167534161</v>
      </c>
      <c r="M1346" s="3">
        <f t="shared" si="28"/>
        <v>-13.58298309591499</v>
      </c>
      <c r="N1346" s="3" t="e">
        <f>(-0.25*B1321-#REF!)/0.5</f>
        <v>#REF!</v>
      </c>
      <c r="O1346" s="3" t="e">
        <f>#REF!/#REF!</f>
        <v>#REF!</v>
      </c>
      <c r="P1346" s="3" t="e">
        <f>-0.5*B1321-#REF!</f>
        <v>#REF!</v>
      </c>
    </row>
    <row r="1347" spans="10:16" x14ac:dyDescent="0.25">
      <c r="J1347" s="3">
        <f t="shared" si="25"/>
        <v>-16.840292660104293</v>
      </c>
      <c r="K1347" s="3">
        <f t="shared" si="26"/>
        <v>-7.7755033054187912</v>
      </c>
      <c r="L1347" s="3">
        <f t="shared" si="27"/>
        <v>-69.267868167534161</v>
      </c>
      <c r="M1347" s="3">
        <f t="shared" si="28"/>
        <v>-13.58298309591499</v>
      </c>
      <c r="N1347" s="3" t="e">
        <f>(-0.25*B1322-#REF!)/0.5</f>
        <v>#REF!</v>
      </c>
      <c r="O1347" s="3" t="e">
        <f>#REF!/#REF!</f>
        <v>#REF!</v>
      </c>
      <c r="P1347" s="3" t="e">
        <f>-0.5*B1322-#REF!</f>
        <v>#REF!</v>
      </c>
    </row>
    <row r="1348" spans="10:16" x14ac:dyDescent="0.25">
      <c r="J1348" s="3">
        <f t="shared" si="25"/>
        <v>-16.840292660104293</v>
      </c>
      <c r="K1348" s="3">
        <f t="shared" si="26"/>
        <v>-7.7755033054187912</v>
      </c>
      <c r="L1348" s="3">
        <f t="shared" si="27"/>
        <v>-69.267868167534161</v>
      </c>
      <c r="M1348" s="3">
        <f t="shared" si="28"/>
        <v>-13.58298309591499</v>
      </c>
      <c r="N1348" s="3" t="e">
        <f>(-0.25*B1323-#REF!)/0.5</f>
        <v>#REF!</v>
      </c>
      <c r="O1348" s="3" t="e">
        <f>#REF!/#REF!</f>
        <v>#REF!</v>
      </c>
      <c r="P1348" s="3" t="e">
        <f>-0.5*B1323-#REF!</f>
        <v>#REF!</v>
      </c>
    </row>
    <row r="1349" spans="10:16" x14ac:dyDescent="0.25">
      <c r="J1349" s="3">
        <f t="shared" si="25"/>
        <v>-16.840292660104293</v>
      </c>
      <c r="K1349" s="3">
        <f t="shared" si="26"/>
        <v>-7.7755033054187912</v>
      </c>
      <c r="L1349" s="3">
        <f t="shared" si="27"/>
        <v>-69.267868167534161</v>
      </c>
      <c r="M1349" s="3">
        <f t="shared" si="28"/>
        <v>-13.58298309591499</v>
      </c>
      <c r="N1349" s="3" t="e">
        <f>(-0.25*B1324-#REF!)/0.5</f>
        <v>#REF!</v>
      </c>
      <c r="O1349" s="3" t="e">
        <f>#REF!/#REF!</f>
        <v>#REF!</v>
      </c>
      <c r="P1349" s="3" t="e">
        <f>-0.5*B1324-#REF!</f>
        <v>#REF!</v>
      </c>
    </row>
    <row r="1350" spans="10:16" x14ac:dyDescent="0.25">
      <c r="J1350" s="3">
        <f t="shared" si="25"/>
        <v>-16.840292660104293</v>
      </c>
      <c r="K1350" s="3">
        <f t="shared" si="26"/>
        <v>-7.7755033054187912</v>
      </c>
      <c r="L1350" s="3">
        <f t="shared" si="27"/>
        <v>-69.267868167534161</v>
      </c>
      <c r="M1350" s="3">
        <f t="shared" si="28"/>
        <v>-13.58298309591499</v>
      </c>
      <c r="N1350" s="3" t="e">
        <f>(-0.25*B1325-#REF!)/0.5</f>
        <v>#REF!</v>
      </c>
      <c r="O1350" s="3" t="e">
        <f>#REF!/#REF!</f>
        <v>#REF!</v>
      </c>
      <c r="P1350" s="3" t="e">
        <f>-0.5*B1325-#REF!</f>
        <v>#REF!</v>
      </c>
    </row>
    <row r="1351" spans="10:16" x14ac:dyDescent="0.25">
      <c r="J1351" s="3">
        <f t="shared" si="25"/>
        <v>-16.840292660104293</v>
      </c>
      <c r="K1351" s="3">
        <f t="shared" si="26"/>
        <v>-7.7755033054187912</v>
      </c>
      <c r="L1351" s="3">
        <f t="shared" si="27"/>
        <v>-69.267868167534161</v>
      </c>
      <c r="M1351" s="3">
        <f t="shared" si="28"/>
        <v>-13.58298309591499</v>
      </c>
      <c r="N1351" s="3" t="e">
        <f>(-0.25*B1326-#REF!)/0.5</f>
        <v>#REF!</v>
      </c>
      <c r="O1351" s="3" t="e">
        <f>#REF!/#REF!</f>
        <v>#REF!</v>
      </c>
      <c r="P1351" s="3" t="e">
        <f>-0.5*B1326-#REF!</f>
        <v>#REF!</v>
      </c>
    </row>
    <row r="1352" spans="10:16" x14ac:dyDescent="0.25">
      <c r="J1352" s="3">
        <f t="shared" si="25"/>
        <v>-16.840292660104293</v>
      </c>
      <c r="K1352" s="3">
        <f t="shared" si="26"/>
        <v>-7.7755033054187912</v>
      </c>
      <c r="L1352" s="3">
        <f t="shared" si="27"/>
        <v>-69.267868167534161</v>
      </c>
      <c r="M1352" s="3">
        <f t="shared" si="28"/>
        <v>-13.58298309591499</v>
      </c>
      <c r="N1352" s="3" t="e">
        <f>(-0.25*B1327-#REF!)/0.5</f>
        <v>#REF!</v>
      </c>
      <c r="O1352" s="3" t="e">
        <f>#REF!/#REF!</f>
        <v>#REF!</v>
      </c>
      <c r="P1352" s="3" t="e">
        <f>-0.5*B1327-#REF!</f>
        <v>#REF!</v>
      </c>
    </row>
    <row r="1353" spans="10:16" x14ac:dyDescent="0.25">
      <c r="J1353" s="3">
        <f t="shared" si="25"/>
        <v>-16.840292660104293</v>
      </c>
      <c r="K1353" s="3">
        <f t="shared" si="26"/>
        <v>-7.7755033054187912</v>
      </c>
      <c r="L1353" s="3">
        <f t="shared" si="27"/>
        <v>-69.267868167534161</v>
      </c>
      <c r="M1353" s="3">
        <f t="shared" si="28"/>
        <v>-13.58298309591499</v>
      </c>
      <c r="N1353" s="3" t="e">
        <f>(-0.25*B1328-#REF!)/0.5</f>
        <v>#REF!</v>
      </c>
      <c r="O1353" s="3" t="e">
        <f>#REF!/#REF!</f>
        <v>#REF!</v>
      </c>
      <c r="P1353" s="3" t="e">
        <f>-0.5*B1328-#REF!</f>
        <v>#REF!</v>
      </c>
    </row>
    <row r="1354" spans="10:16" x14ac:dyDescent="0.25">
      <c r="J1354" s="3">
        <f t="shared" si="25"/>
        <v>-16.840292660104293</v>
      </c>
      <c r="K1354" s="3">
        <f t="shared" si="26"/>
        <v>-7.7755033054187912</v>
      </c>
      <c r="L1354" s="3">
        <f t="shared" si="27"/>
        <v>-69.267868167534161</v>
      </c>
      <c r="M1354" s="3">
        <f t="shared" si="28"/>
        <v>-13.58298309591499</v>
      </c>
      <c r="N1354" s="3" t="e">
        <f>(-0.25*B1329-#REF!)/0.5</f>
        <v>#REF!</v>
      </c>
      <c r="O1354" s="3" t="e">
        <f>#REF!/#REF!</f>
        <v>#REF!</v>
      </c>
      <c r="P1354" s="3" t="e">
        <f>-0.5*B1329-#REF!</f>
        <v>#REF!</v>
      </c>
    </row>
    <row r="1355" spans="10:16" x14ac:dyDescent="0.25">
      <c r="J1355" s="3">
        <f t="shared" si="25"/>
        <v>-16.840292660104293</v>
      </c>
      <c r="K1355" s="3">
        <f t="shared" si="26"/>
        <v>-7.7755033054187912</v>
      </c>
      <c r="L1355" s="3">
        <f t="shared" si="27"/>
        <v>-69.267868167534161</v>
      </c>
      <c r="M1355" s="3">
        <f t="shared" si="28"/>
        <v>-13.58298309591499</v>
      </c>
      <c r="N1355" s="3" t="e">
        <f>(-0.25*B1330-#REF!)/0.5</f>
        <v>#REF!</v>
      </c>
      <c r="O1355" s="3" t="e">
        <f>#REF!/#REF!</f>
        <v>#REF!</v>
      </c>
      <c r="P1355" s="3" t="e">
        <f>-0.5*B1330-#REF!</f>
        <v>#REF!</v>
      </c>
    </row>
    <row r="1356" spans="10:16" x14ac:dyDescent="0.25">
      <c r="J1356" s="3">
        <f t="shared" si="25"/>
        <v>-16.840292660104293</v>
      </c>
      <c r="K1356" s="3">
        <f t="shared" si="26"/>
        <v>-7.7755033054187912</v>
      </c>
      <c r="L1356" s="3">
        <f t="shared" si="27"/>
        <v>-69.267868167534161</v>
      </c>
      <c r="M1356" s="3">
        <f t="shared" si="28"/>
        <v>-13.58298309591499</v>
      </c>
      <c r="N1356" s="3" t="e">
        <f>(-0.25*B1331-#REF!)/0.5</f>
        <v>#REF!</v>
      </c>
      <c r="O1356" s="3" t="e">
        <f>#REF!/#REF!</f>
        <v>#REF!</v>
      </c>
      <c r="P1356" s="3" t="e">
        <f>-0.5*B1331-#REF!</f>
        <v>#REF!</v>
      </c>
    </row>
    <row r="1357" spans="10:16" x14ac:dyDescent="0.25">
      <c r="J1357" s="3">
        <f t="shared" si="25"/>
        <v>-16.840292660104293</v>
      </c>
      <c r="K1357" s="3">
        <f t="shared" si="26"/>
        <v>-7.7755033054187912</v>
      </c>
      <c r="L1357" s="3">
        <f t="shared" si="27"/>
        <v>-69.267868167534161</v>
      </c>
      <c r="M1357" s="3">
        <f t="shared" si="28"/>
        <v>-13.58298309591499</v>
      </c>
      <c r="N1357" s="3" t="e">
        <f>(-0.25*B1332-#REF!)/0.5</f>
        <v>#REF!</v>
      </c>
      <c r="O1357" s="3" t="e">
        <f>#REF!/#REF!</f>
        <v>#REF!</v>
      </c>
      <c r="P1357" s="3" t="e">
        <f>-0.5*B1332-#REF!</f>
        <v>#REF!</v>
      </c>
    </row>
    <row r="1358" spans="10:16" x14ac:dyDescent="0.25">
      <c r="J1358" s="3">
        <f t="shared" si="25"/>
        <v>-16.840292660104293</v>
      </c>
      <c r="K1358" s="3">
        <f t="shared" si="26"/>
        <v>-7.7755033054187912</v>
      </c>
      <c r="L1358" s="3">
        <f t="shared" si="27"/>
        <v>-69.267868167534161</v>
      </c>
      <c r="M1358" s="3">
        <f t="shared" si="28"/>
        <v>-13.58298309591499</v>
      </c>
      <c r="N1358" s="3" t="e">
        <f>(-0.25*B1333-#REF!)/0.5</f>
        <v>#REF!</v>
      </c>
      <c r="O1358" s="3" t="e">
        <f>#REF!/#REF!</f>
        <v>#REF!</v>
      </c>
      <c r="P1358" s="3" t="e">
        <f>-0.5*B1333-#REF!</f>
        <v>#REF!</v>
      </c>
    </row>
    <row r="1359" spans="10:16" x14ac:dyDescent="0.25">
      <c r="J1359" s="3">
        <f t="shared" si="25"/>
        <v>-16.840292660104293</v>
      </c>
      <c r="K1359" s="3">
        <f t="shared" si="26"/>
        <v>-7.7755033054187912</v>
      </c>
      <c r="L1359" s="3">
        <f t="shared" si="27"/>
        <v>-69.267868167534161</v>
      </c>
      <c r="M1359" s="3">
        <f t="shared" si="28"/>
        <v>-13.58298309591499</v>
      </c>
      <c r="N1359" s="3" t="e">
        <f>(-0.25*B1334-#REF!)/0.5</f>
        <v>#REF!</v>
      </c>
      <c r="O1359" s="3" t="e">
        <f>#REF!/#REF!</f>
        <v>#REF!</v>
      </c>
      <c r="P1359" s="3" t="e">
        <f>-0.5*B1334-#REF!</f>
        <v>#REF!</v>
      </c>
    </row>
    <row r="1360" spans="10:16" x14ac:dyDescent="0.25">
      <c r="J1360" s="3">
        <f t="shared" si="25"/>
        <v>-16.840292660104293</v>
      </c>
      <c r="K1360" s="3">
        <f t="shared" si="26"/>
        <v>-7.7755033054187912</v>
      </c>
      <c r="L1360" s="3">
        <f t="shared" si="27"/>
        <v>-69.267868167534161</v>
      </c>
      <c r="M1360" s="3">
        <f t="shared" si="28"/>
        <v>-13.58298309591499</v>
      </c>
      <c r="N1360" s="3" t="e">
        <f>(-0.25*B1335-#REF!)/0.5</f>
        <v>#REF!</v>
      </c>
      <c r="O1360" s="3" t="e">
        <f>#REF!/#REF!</f>
        <v>#REF!</v>
      </c>
      <c r="P1360" s="3" t="e">
        <f>-0.5*B1335-#REF!</f>
        <v>#REF!</v>
      </c>
    </row>
    <row r="1361" spans="10:16" x14ac:dyDescent="0.25">
      <c r="J1361" s="3">
        <f t="shared" si="25"/>
        <v>-16.840292660104293</v>
      </c>
      <c r="K1361" s="3">
        <f t="shared" si="26"/>
        <v>-7.7755033054187912</v>
      </c>
      <c r="L1361" s="3">
        <f t="shared" si="27"/>
        <v>-69.267868167534161</v>
      </c>
      <c r="M1361" s="3">
        <f t="shared" si="28"/>
        <v>-13.58298309591499</v>
      </c>
      <c r="N1361" s="3" t="e">
        <f>(-0.25*B1336-#REF!)/0.5</f>
        <v>#REF!</v>
      </c>
      <c r="O1361" s="3" t="e">
        <f>#REF!/#REF!</f>
        <v>#REF!</v>
      </c>
      <c r="P1361" s="3" t="e">
        <f>-0.5*B1336-#REF!</f>
        <v>#REF!</v>
      </c>
    </row>
    <row r="1362" spans="10:16" x14ac:dyDescent="0.25">
      <c r="J1362" s="3">
        <f t="shared" si="25"/>
        <v>-16.840292660104293</v>
      </c>
      <c r="K1362" s="3">
        <f t="shared" si="26"/>
        <v>-7.7755033054187912</v>
      </c>
      <c r="L1362" s="3">
        <f t="shared" si="27"/>
        <v>-69.267868167534161</v>
      </c>
      <c r="M1362" s="3">
        <f t="shared" si="28"/>
        <v>-13.58298309591499</v>
      </c>
      <c r="N1362" s="3" t="e">
        <f>(-0.25*B1337-#REF!)/0.5</f>
        <v>#REF!</v>
      </c>
      <c r="O1362" s="3" t="e">
        <f>#REF!/#REF!</f>
        <v>#REF!</v>
      </c>
      <c r="P1362" s="3" t="e">
        <f>-0.5*B1337-#REF!</f>
        <v>#REF!</v>
      </c>
    </row>
    <row r="1363" spans="10:16" x14ac:dyDescent="0.25">
      <c r="J1363" s="3">
        <f t="shared" si="25"/>
        <v>-16.840292660104293</v>
      </c>
      <c r="K1363" s="3">
        <f t="shared" si="26"/>
        <v>-7.7755033054187912</v>
      </c>
      <c r="L1363" s="3">
        <f t="shared" si="27"/>
        <v>-69.267868167534161</v>
      </c>
      <c r="M1363" s="3">
        <f t="shared" si="28"/>
        <v>-13.58298309591499</v>
      </c>
      <c r="N1363" s="3" t="e">
        <f>(-0.25*B1338-#REF!)/0.5</f>
        <v>#REF!</v>
      </c>
      <c r="O1363" s="3" t="e">
        <f>#REF!/#REF!</f>
        <v>#REF!</v>
      </c>
      <c r="P1363" s="3" t="e">
        <f>-0.5*B1338-#REF!</f>
        <v>#REF!</v>
      </c>
    </row>
    <row r="1364" spans="10:16" x14ac:dyDescent="0.25">
      <c r="J1364" s="3">
        <f t="shared" si="25"/>
        <v>-16.840292660104293</v>
      </c>
      <c r="K1364" s="3">
        <f t="shared" si="26"/>
        <v>-7.7755033054187912</v>
      </c>
      <c r="L1364" s="3">
        <f t="shared" si="27"/>
        <v>-69.267868167534161</v>
      </c>
      <c r="M1364" s="3">
        <f t="shared" si="28"/>
        <v>-13.58298309591499</v>
      </c>
      <c r="N1364" s="3" t="e">
        <f>(-0.25*B1339-#REF!)/0.5</f>
        <v>#REF!</v>
      </c>
      <c r="O1364" s="3" t="e">
        <f>#REF!/#REF!</f>
        <v>#REF!</v>
      </c>
      <c r="P1364" s="3" t="e">
        <f>-0.5*B1339-#REF!</f>
        <v>#REF!</v>
      </c>
    </row>
    <row r="1365" spans="10:16" x14ac:dyDescent="0.25">
      <c r="J1365" s="3">
        <f t="shared" si="25"/>
        <v>-16.840292660104293</v>
      </c>
      <c r="K1365" s="3">
        <f t="shared" si="26"/>
        <v>-7.7755033054187912</v>
      </c>
      <c r="L1365" s="3">
        <f t="shared" si="27"/>
        <v>-69.267868167534161</v>
      </c>
      <c r="M1365" s="3">
        <f t="shared" si="28"/>
        <v>-13.58298309591499</v>
      </c>
      <c r="N1365" s="3" t="e">
        <f>(-0.25*B1340-#REF!)/0.5</f>
        <v>#REF!</v>
      </c>
      <c r="O1365" s="3" t="e">
        <f>#REF!/#REF!</f>
        <v>#REF!</v>
      </c>
      <c r="P1365" s="3" t="e">
        <f>-0.5*B1340-#REF!</f>
        <v>#REF!</v>
      </c>
    </row>
    <row r="1366" spans="10:16" x14ac:dyDescent="0.25">
      <c r="J1366" s="3">
        <f t="shared" si="25"/>
        <v>-16.840292660104293</v>
      </c>
      <c r="K1366" s="3">
        <f t="shared" si="26"/>
        <v>-7.7755033054187912</v>
      </c>
      <c r="L1366" s="3">
        <f t="shared" si="27"/>
        <v>-69.267868167534161</v>
      </c>
      <c r="M1366" s="3">
        <f t="shared" si="28"/>
        <v>-13.58298309591499</v>
      </c>
      <c r="N1366" s="3" t="e">
        <f>(-0.25*B1341-#REF!)/0.5</f>
        <v>#REF!</v>
      </c>
      <c r="O1366" s="3" t="e">
        <f>#REF!/#REF!</f>
        <v>#REF!</v>
      </c>
      <c r="P1366" s="3" t="e">
        <f>-0.5*B1341-#REF!</f>
        <v>#REF!</v>
      </c>
    </row>
    <row r="1367" spans="10:16" x14ac:dyDescent="0.25">
      <c r="J1367" s="3">
        <f t="shared" si="25"/>
        <v>-16.840292660104293</v>
      </c>
      <c r="K1367" s="3">
        <f t="shared" si="26"/>
        <v>-7.7755033054187912</v>
      </c>
      <c r="L1367" s="3">
        <f t="shared" si="27"/>
        <v>-69.267868167534161</v>
      </c>
      <c r="M1367" s="3">
        <f t="shared" si="28"/>
        <v>-13.58298309591499</v>
      </c>
      <c r="N1367" s="3" t="e">
        <f>(-0.25*B1342-#REF!)/0.5</f>
        <v>#REF!</v>
      </c>
      <c r="O1367" s="3" t="e">
        <f>#REF!/#REF!</f>
        <v>#REF!</v>
      </c>
      <c r="P1367" s="3" t="e">
        <f>-0.5*B1342-#REF!</f>
        <v>#REF!</v>
      </c>
    </row>
    <row r="1368" spans="10:16" x14ac:dyDescent="0.25">
      <c r="J1368" s="3">
        <f t="shared" si="25"/>
        <v>-16.840292660104293</v>
      </c>
      <c r="K1368" s="3">
        <f t="shared" si="26"/>
        <v>-7.7755033054187912</v>
      </c>
      <c r="L1368" s="3">
        <f t="shared" si="27"/>
        <v>-69.267868167534161</v>
      </c>
      <c r="M1368" s="3">
        <f t="shared" si="28"/>
        <v>-13.58298309591499</v>
      </c>
      <c r="N1368" s="3" t="e">
        <f>(-0.25*B1343-#REF!)/0.5</f>
        <v>#REF!</v>
      </c>
      <c r="O1368" s="3" t="e">
        <f>#REF!/#REF!</f>
        <v>#REF!</v>
      </c>
      <c r="P1368" s="3" t="e">
        <f>-0.5*B1343-#REF!</f>
        <v>#REF!</v>
      </c>
    </row>
    <row r="1369" spans="10:16" x14ac:dyDescent="0.25">
      <c r="J1369" s="3">
        <f t="shared" si="25"/>
        <v>-16.840292660104293</v>
      </c>
      <c r="K1369" s="3">
        <f t="shared" si="26"/>
        <v>-7.7755033054187912</v>
      </c>
      <c r="L1369" s="3">
        <f t="shared" si="27"/>
        <v>-69.267868167534161</v>
      </c>
      <c r="M1369" s="3">
        <f t="shared" si="28"/>
        <v>-13.58298309591499</v>
      </c>
      <c r="N1369" s="3" t="e">
        <f>(-0.25*B1344-#REF!)/0.5</f>
        <v>#REF!</v>
      </c>
      <c r="O1369" s="3" t="e">
        <f>#REF!/#REF!</f>
        <v>#REF!</v>
      </c>
      <c r="P1369" s="3" t="e">
        <f>-0.5*B1344-#REF!</f>
        <v>#REF!</v>
      </c>
    </row>
    <row r="1370" spans="10:16" x14ac:dyDescent="0.25">
      <c r="J1370" s="3">
        <f t="shared" si="25"/>
        <v>-16.840292660104293</v>
      </c>
      <c r="K1370" s="3">
        <f t="shared" si="26"/>
        <v>-7.7755033054187912</v>
      </c>
      <c r="L1370" s="3">
        <f t="shared" si="27"/>
        <v>-69.267868167534161</v>
      </c>
      <c r="M1370" s="3">
        <f t="shared" si="28"/>
        <v>-13.58298309591499</v>
      </c>
      <c r="N1370" s="3" t="e">
        <f>(-0.25*B1345-#REF!)/0.5</f>
        <v>#REF!</v>
      </c>
      <c r="O1370" s="3" t="e">
        <f>#REF!/#REF!</f>
        <v>#REF!</v>
      </c>
      <c r="P1370" s="3" t="e">
        <f>-0.5*B1345-#REF!</f>
        <v>#REF!</v>
      </c>
    </row>
    <row r="1371" spans="10:16" x14ac:dyDescent="0.25">
      <c r="J1371" s="3">
        <f t="shared" si="25"/>
        <v>-16.840292660104293</v>
      </c>
      <c r="K1371" s="3">
        <f t="shared" si="26"/>
        <v>-7.7755033054187912</v>
      </c>
      <c r="L1371" s="3">
        <f t="shared" si="27"/>
        <v>-69.267868167534161</v>
      </c>
      <c r="M1371" s="3">
        <f t="shared" si="28"/>
        <v>-13.58298309591499</v>
      </c>
      <c r="N1371" s="3" t="e">
        <f>(-0.25*B1346-#REF!)/0.5</f>
        <v>#REF!</v>
      </c>
      <c r="O1371" s="3" t="e">
        <f>#REF!/#REF!</f>
        <v>#REF!</v>
      </c>
      <c r="P1371" s="3" t="e">
        <f>-0.5*B1346-#REF!</f>
        <v>#REF!</v>
      </c>
    </row>
    <row r="1372" spans="10:16" x14ac:dyDescent="0.25">
      <c r="J1372" s="3">
        <f t="shared" si="25"/>
        <v>-16.840292660104293</v>
      </c>
      <c r="K1372" s="3">
        <f t="shared" si="26"/>
        <v>-7.7755033054187912</v>
      </c>
      <c r="L1372" s="3">
        <f t="shared" si="27"/>
        <v>-69.267868167534161</v>
      </c>
      <c r="M1372" s="3">
        <f t="shared" si="28"/>
        <v>-13.58298309591499</v>
      </c>
      <c r="N1372" s="3" t="e">
        <f>(-0.25*B1347-#REF!)/0.5</f>
        <v>#REF!</v>
      </c>
      <c r="O1372" s="3" t="e">
        <f>#REF!/#REF!</f>
        <v>#REF!</v>
      </c>
      <c r="P1372" s="3" t="e">
        <f>-0.5*B1347-#REF!</f>
        <v>#REF!</v>
      </c>
    </row>
    <row r="1373" spans="10:16" x14ac:dyDescent="0.25">
      <c r="J1373" s="3">
        <f t="shared" si="25"/>
        <v>-16.840292660104293</v>
      </c>
      <c r="K1373" s="3">
        <f t="shared" si="26"/>
        <v>-7.7755033054187912</v>
      </c>
      <c r="L1373" s="3">
        <f t="shared" si="27"/>
        <v>-69.267868167534161</v>
      </c>
      <c r="M1373" s="3">
        <f t="shared" si="28"/>
        <v>-13.58298309591499</v>
      </c>
      <c r="N1373" s="3" t="e">
        <f>(-0.25*B1348-#REF!)/0.5</f>
        <v>#REF!</v>
      </c>
      <c r="O1373" s="3" t="e">
        <f>#REF!/#REF!</f>
        <v>#REF!</v>
      </c>
      <c r="P1373" s="3" t="e">
        <f>-0.5*B1348-#REF!</f>
        <v>#REF!</v>
      </c>
    </row>
    <row r="1374" spans="10:16" x14ac:dyDescent="0.25">
      <c r="J1374" s="3">
        <f t="shared" si="25"/>
        <v>-16.840292660104293</v>
      </c>
      <c r="K1374" s="3">
        <f t="shared" si="26"/>
        <v>-7.7755033054187912</v>
      </c>
      <c r="L1374" s="3">
        <f t="shared" si="27"/>
        <v>-69.267868167534161</v>
      </c>
      <c r="M1374" s="3">
        <f t="shared" si="28"/>
        <v>-13.58298309591499</v>
      </c>
      <c r="N1374" s="3" t="e">
        <f>(-0.25*B1349-#REF!)/0.5</f>
        <v>#REF!</v>
      </c>
      <c r="O1374" s="3" t="e">
        <f>#REF!/#REF!</f>
        <v>#REF!</v>
      </c>
      <c r="P1374" s="3" t="e">
        <f>-0.5*B1349-#REF!</f>
        <v>#REF!</v>
      </c>
    </row>
    <row r="1375" spans="10:16" x14ac:dyDescent="0.25">
      <c r="J1375" s="3">
        <f t="shared" si="25"/>
        <v>-16.840292660104293</v>
      </c>
      <c r="K1375" s="3">
        <f t="shared" si="26"/>
        <v>-7.7755033054187912</v>
      </c>
      <c r="L1375" s="3">
        <f t="shared" si="27"/>
        <v>-69.267868167534161</v>
      </c>
      <c r="M1375" s="3">
        <f t="shared" si="28"/>
        <v>-13.58298309591499</v>
      </c>
      <c r="N1375" s="3" t="e">
        <f>(-0.25*B1350-#REF!)/0.5</f>
        <v>#REF!</v>
      </c>
      <c r="O1375" s="3" t="e">
        <f>#REF!/#REF!</f>
        <v>#REF!</v>
      </c>
      <c r="P1375" s="3" t="e">
        <f>-0.5*B1350-#REF!</f>
        <v>#REF!</v>
      </c>
    </row>
    <row r="1376" spans="10:16" x14ac:dyDescent="0.25">
      <c r="J1376" s="3">
        <f t="shared" si="25"/>
        <v>-16.840292660104293</v>
      </c>
      <c r="K1376" s="3">
        <f t="shared" si="26"/>
        <v>-7.7755033054187912</v>
      </c>
      <c r="L1376" s="3">
        <f t="shared" si="27"/>
        <v>-69.267868167534161</v>
      </c>
      <c r="M1376" s="3">
        <f t="shared" si="28"/>
        <v>-13.58298309591499</v>
      </c>
      <c r="N1376" s="3" t="e">
        <f>(-0.25*B1351-#REF!)/0.5</f>
        <v>#REF!</v>
      </c>
      <c r="O1376" s="3" t="e">
        <f>#REF!/#REF!</f>
        <v>#REF!</v>
      </c>
      <c r="P1376" s="3" t="e">
        <f>-0.5*B1351-#REF!</f>
        <v>#REF!</v>
      </c>
    </row>
    <row r="1377" spans="10:16" x14ac:dyDescent="0.25">
      <c r="J1377" s="3">
        <f t="shared" si="25"/>
        <v>-16.840292660104293</v>
      </c>
      <c r="K1377" s="3">
        <f t="shared" si="26"/>
        <v>-7.7755033054187912</v>
      </c>
      <c r="L1377" s="3">
        <f t="shared" si="27"/>
        <v>-69.267868167534161</v>
      </c>
      <c r="M1377" s="3">
        <f t="shared" si="28"/>
        <v>-13.58298309591499</v>
      </c>
      <c r="N1377" s="3" t="e">
        <f>(-0.25*B1352-#REF!)/0.5</f>
        <v>#REF!</v>
      </c>
      <c r="O1377" s="3" t="e">
        <f>#REF!/#REF!</f>
        <v>#REF!</v>
      </c>
      <c r="P1377" s="3" t="e">
        <f>-0.5*B1352-#REF!</f>
        <v>#REF!</v>
      </c>
    </row>
    <row r="1378" spans="10:16" x14ac:dyDescent="0.25">
      <c r="J1378" s="3">
        <f t="shared" si="25"/>
        <v>-16.840292660104293</v>
      </c>
      <c r="K1378" s="3">
        <f t="shared" si="26"/>
        <v>-7.7755033054187912</v>
      </c>
      <c r="L1378" s="3">
        <f t="shared" si="27"/>
        <v>-69.267868167534161</v>
      </c>
      <c r="M1378" s="3">
        <f t="shared" si="28"/>
        <v>-13.58298309591499</v>
      </c>
      <c r="N1378" s="3" t="e">
        <f>(-0.25*B1353-#REF!)/0.5</f>
        <v>#REF!</v>
      </c>
      <c r="O1378" s="3" t="e">
        <f>#REF!/#REF!</f>
        <v>#REF!</v>
      </c>
      <c r="P1378" s="3" t="e">
        <f>-0.5*B1353-#REF!</f>
        <v>#REF!</v>
      </c>
    </row>
    <row r="1379" spans="10:16" x14ac:dyDescent="0.25">
      <c r="J1379" s="3">
        <f t="shared" si="25"/>
        <v>-16.840292660104293</v>
      </c>
      <c r="K1379" s="3">
        <f t="shared" si="26"/>
        <v>-7.7755033054187912</v>
      </c>
      <c r="L1379" s="3">
        <f t="shared" si="27"/>
        <v>-69.267868167534161</v>
      </c>
      <c r="M1379" s="3">
        <f t="shared" si="28"/>
        <v>-13.58298309591499</v>
      </c>
      <c r="N1379" s="3" t="e">
        <f>(-0.25*B1354-#REF!)/0.5</f>
        <v>#REF!</v>
      </c>
      <c r="O1379" s="3" t="e">
        <f>#REF!/#REF!</f>
        <v>#REF!</v>
      </c>
      <c r="P1379" s="3" t="e">
        <f>-0.5*B1354-#REF!</f>
        <v>#REF!</v>
      </c>
    </row>
    <row r="1380" spans="10:16" x14ac:dyDescent="0.25">
      <c r="J1380" s="3">
        <f t="shared" si="25"/>
        <v>-16.840292660104293</v>
      </c>
      <c r="K1380" s="3">
        <f t="shared" si="26"/>
        <v>-7.7755033054187912</v>
      </c>
      <c r="L1380" s="3">
        <f t="shared" si="27"/>
        <v>-69.267868167534161</v>
      </c>
      <c r="M1380" s="3">
        <f t="shared" si="28"/>
        <v>-13.58298309591499</v>
      </c>
      <c r="N1380" s="3" t="e">
        <f>(-0.25*B1355-#REF!)/0.5</f>
        <v>#REF!</v>
      </c>
      <c r="O1380" s="3" t="e">
        <f>#REF!/#REF!</f>
        <v>#REF!</v>
      </c>
      <c r="P1380" s="3" t="e">
        <f>-0.5*B1355-#REF!</f>
        <v>#REF!</v>
      </c>
    </row>
    <row r="1381" spans="10:16" x14ac:dyDescent="0.25">
      <c r="J1381" s="3">
        <f t="shared" si="25"/>
        <v>-16.840292660104293</v>
      </c>
      <c r="K1381" s="3">
        <f t="shared" si="26"/>
        <v>-7.7755033054187912</v>
      </c>
      <c r="L1381" s="3">
        <f t="shared" si="27"/>
        <v>-69.267868167534161</v>
      </c>
      <c r="M1381" s="3">
        <f t="shared" si="28"/>
        <v>-13.58298309591499</v>
      </c>
      <c r="N1381" s="3" t="e">
        <f>(-0.25*B1356-#REF!)/0.5</f>
        <v>#REF!</v>
      </c>
      <c r="O1381" s="3" t="e">
        <f>#REF!/#REF!</f>
        <v>#REF!</v>
      </c>
      <c r="P1381" s="3" t="e">
        <f>-0.5*B1356-#REF!</f>
        <v>#REF!</v>
      </c>
    </row>
    <row r="1382" spans="10:16" x14ac:dyDescent="0.25">
      <c r="J1382" s="3">
        <f t="shared" si="25"/>
        <v>-16.840292660104293</v>
      </c>
      <c r="K1382" s="3">
        <f t="shared" si="26"/>
        <v>-7.7755033054187912</v>
      </c>
      <c r="L1382" s="3">
        <f t="shared" si="27"/>
        <v>-69.267868167534161</v>
      </c>
      <c r="M1382" s="3">
        <f t="shared" si="28"/>
        <v>-13.58298309591499</v>
      </c>
      <c r="N1382" s="3" t="e">
        <f>(-0.25*B1357-#REF!)/0.5</f>
        <v>#REF!</v>
      </c>
      <c r="O1382" s="3" t="e">
        <f>#REF!/#REF!</f>
        <v>#REF!</v>
      </c>
      <c r="P1382" s="3" t="e">
        <f>-0.5*B1357-#REF!</f>
        <v>#REF!</v>
      </c>
    </row>
    <row r="1383" spans="10:16" x14ac:dyDescent="0.25">
      <c r="J1383" s="3">
        <f t="shared" si="25"/>
        <v>-16.840292660104293</v>
      </c>
      <c r="K1383" s="3">
        <f t="shared" si="26"/>
        <v>-7.7755033054187912</v>
      </c>
      <c r="L1383" s="3">
        <f t="shared" si="27"/>
        <v>-69.267868167534161</v>
      </c>
      <c r="M1383" s="3">
        <f t="shared" si="28"/>
        <v>-13.58298309591499</v>
      </c>
      <c r="N1383" s="3" t="e">
        <f>(-0.25*B1358-#REF!)/0.5</f>
        <v>#REF!</v>
      </c>
      <c r="O1383" s="3" t="e">
        <f>#REF!/#REF!</f>
        <v>#REF!</v>
      </c>
      <c r="P1383" s="3" t="e">
        <f>-0.5*B1358-#REF!</f>
        <v>#REF!</v>
      </c>
    </row>
    <row r="1384" spans="10:16" x14ac:dyDescent="0.25">
      <c r="J1384" s="3">
        <f t="shared" si="25"/>
        <v>-16.840292660104293</v>
      </c>
      <c r="K1384" s="3">
        <f t="shared" si="26"/>
        <v>-7.7755033054187912</v>
      </c>
      <c r="L1384" s="3">
        <f t="shared" si="27"/>
        <v>-69.267868167534161</v>
      </c>
      <c r="M1384" s="3">
        <f t="shared" si="28"/>
        <v>-13.58298309591499</v>
      </c>
      <c r="N1384" s="3" t="e">
        <f>(-0.25*B1359-#REF!)/0.5</f>
        <v>#REF!</v>
      </c>
      <c r="O1384" s="3" t="e">
        <f>#REF!/#REF!</f>
        <v>#REF!</v>
      </c>
      <c r="P1384" s="3" t="e">
        <f>-0.5*B1359-#REF!</f>
        <v>#REF!</v>
      </c>
    </row>
    <row r="1385" spans="10:16" x14ac:dyDescent="0.25">
      <c r="J1385" s="3">
        <f t="shared" si="25"/>
        <v>-16.840292660104293</v>
      </c>
      <c r="K1385" s="3">
        <f t="shared" si="26"/>
        <v>-7.7755033054187912</v>
      </c>
      <c r="L1385" s="3">
        <f t="shared" si="27"/>
        <v>-69.267868167534161</v>
      </c>
      <c r="M1385" s="3">
        <f t="shared" si="28"/>
        <v>-13.58298309591499</v>
      </c>
      <c r="N1385" s="3" t="e">
        <f>(-0.25*B1360-#REF!)/0.5</f>
        <v>#REF!</v>
      </c>
      <c r="O1385" s="3" t="e">
        <f>#REF!/#REF!</f>
        <v>#REF!</v>
      </c>
      <c r="P1385" s="3" t="e">
        <f>-0.5*B1360-#REF!</f>
        <v>#REF!</v>
      </c>
    </row>
    <row r="1386" spans="10:16" x14ac:dyDescent="0.25">
      <c r="J1386" s="3">
        <f t="shared" si="25"/>
        <v>-16.840292660104293</v>
      </c>
      <c r="K1386" s="3">
        <f t="shared" si="26"/>
        <v>-7.7755033054187912</v>
      </c>
      <c r="L1386" s="3">
        <f t="shared" si="27"/>
        <v>-69.267868167534161</v>
      </c>
      <c r="M1386" s="3">
        <f t="shared" si="28"/>
        <v>-13.58298309591499</v>
      </c>
      <c r="N1386" s="3" t="e">
        <f>(-0.25*B1361-#REF!)/0.5</f>
        <v>#REF!</v>
      </c>
      <c r="O1386" s="3" t="e">
        <f>#REF!/#REF!</f>
        <v>#REF!</v>
      </c>
      <c r="P1386" s="3" t="e">
        <f>-0.5*B1361-#REF!</f>
        <v>#REF!</v>
      </c>
    </row>
    <row r="1387" spans="10:16" x14ac:dyDescent="0.25">
      <c r="J1387" s="3">
        <f t="shared" si="25"/>
        <v>-16.840292660104293</v>
      </c>
      <c r="K1387" s="3">
        <f t="shared" si="26"/>
        <v>-7.7755033054187912</v>
      </c>
      <c r="L1387" s="3">
        <f t="shared" si="27"/>
        <v>-69.267868167534161</v>
      </c>
      <c r="M1387" s="3">
        <f t="shared" si="28"/>
        <v>-13.58298309591499</v>
      </c>
      <c r="N1387" s="3" t="e">
        <f>(-0.25*B1362-#REF!)/0.5</f>
        <v>#REF!</v>
      </c>
      <c r="O1387" s="3" t="e">
        <f>#REF!/#REF!</f>
        <v>#REF!</v>
      </c>
      <c r="P1387" s="3" t="e">
        <f>-0.5*B1362-#REF!</f>
        <v>#REF!</v>
      </c>
    </row>
    <row r="1388" spans="10:16" x14ac:dyDescent="0.25">
      <c r="J1388" s="3">
        <f t="shared" si="25"/>
        <v>-16.840292660104293</v>
      </c>
      <c r="K1388" s="3">
        <f t="shared" si="26"/>
        <v>-7.7755033054187912</v>
      </c>
      <c r="L1388" s="3">
        <f t="shared" si="27"/>
        <v>-69.267868167534161</v>
      </c>
      <c r="M1388" s="3">
        <f t="shared" si="28"/>
        <v>-13.58298309591499</v>
      </c>
      <c r="N1388" s="3" t="e">
        <f>(-0.25*B1363-#REF!)/0.5</f>
        <v>#REF!</v>
      </c>
      <c r="O1388" s="3" t="e">
        <f>#REF!/#REF!</f>
        <v>#REF!</v>
      </c>
      <c r="P1388" s="3" t="e">
        <f>-0.5*B1363-#REF!</f>
        <v>#REF!</v>
      </c>
    </row>
    <row r="1389" spans="10:16" x14ac:dyDescent="0.25">
      <c r="J1389" s="3">
        <f t="shared" si="25"/>
        <v>-16.840292660104293</v>
      </c>
      <c r="K1389" s="3">
        <f t="shared" si="26"/>
        <v>-7.7755033054187912</v>
      </c>
      <c r="L1389" s="3">
        <f t="shared" si="27"/>
        <v>-69.267868167534161</v>
      </c>
      <c r="M1389" s="3">
        <f t="shared" si="28"/>
        <v>-13.58298309591499</v>
      </c>
      <c r="N1389" s="3" t="e">
        <f>(-0.25*B1364-#REF!)/0.5</f>
        <v>#REF!</v>
      </c>
      <c r="O1389" s="3" t="e">
        <f>#REF!/#REF!</f>
        <v>#REF!</v>
      </c>
      <c r="P1389" s="3" t="e">
        <f>-0.5*B1364-#REF!</f>
        <v>#REF!</v>
      </c>
    </row>
    <row r="1390" spans="10:16" x14ac:dyDescent="0.25">
      <c r="J1390" s="3">
        <f t="shared" si="25"/>
        <v>-16.840292660104293</v>
      </c>
      <c r="K1390" s="3">
        <f t="shared" si="26"/>
        <v>-7.7755033054187912</v>
      </c>
      <c r="L1390" s="3">
        <f t="shared" si="27"/>
        <v>-69.267868167534161</v>
      </c>
      <c r="M1390" s="3">
        <f t="shared" si="28"/>
        <v>-13.58298309591499</v>
      </c>
      <c r="N1390" s="3" t="e">
        <f>(-0.25*B1365-#REF!)/0.5</f>
        <v>#REF!</v>
      </c>
      <c r="O1390" s="3" t="e">
        <f>#REF!/#REF!</f>
        <v>#REF!</v>
      </c>
      <c r="P1390" s="3" t="e">
        <f>-0.5*B1365-#REF!</f>
        <v>#REF!</v>
      </c>
    </row>
    <row r="1391" spans="10:16" x14ac:dyDescent="0.25">
      <c r="J1391" s="3">
        <f t="shared" si="25"/>
        <v>-16.840292660104293</v>
      </c>
      <c r="K1391" s="3">
        <f t="shared" si="26"/>
        <v>-7.7755033054187912</v>
      </c>
      <c r="L1391" s="3">
        <f t="shared" si="27"/>
        <v>-69.267868167534161</v>
      </c>
      <c r="M1391" s="3">
        <f t="shared" si="28"/>
        <v>-13.58298309591499</v>
      </c>
      <c r="N1391" s="3" t="e">
        <f>(-0.25*B1366-#REF!)/0.5</f>
        <v>#REF!</v>
      </c>
      <c r="O1391" s="3" t="e">
        <f>#REF!/#REF!</f>
        <v>#REF!</v>
      </c>
      <c r="P1391" s="3" t="e">
        <f>-0.5*B1366-#REF!</f>
        <v>#REF!</v>
      </c>
    </row>
    <row r="1392" spans="10:16" x14ac:dyDescent="0.25">
      <c r="J1392" s="3">
        <f t="shared" si="25"/>
        <v>-16.840292660104293</v>
      </c>
      <c r="K1392" s="3">
        <f t="shared" si="26"/>
        <v>-7.7755033054187912</v>
      </c>
      <c r="L1392" s="3">
        <f t="shared" si="27"/>
        <v>-69.267868167534161</v>
      </c>
      <c r="M1392" s="3">
        <f t="shared" si="28"/>
        <v>-13.58298309591499</v>
      </c>
      <c r="N1392" s="3" t="e">
        <f>(-0.25*B1367-#REF!)/0.5</f>
        <v>#REF!</v>
      </c>
      <c r="O1392" s="3" t="e">
        <f>#REF!/#REF!</f>
        <v>#REF!</v>
      </c>
      <c r="P1392" s="3" t="e">
        <f>-0.5*B1367-#REF!</f>
        <v>#REF!</v>
      </c>
    </row>
    <row r="1393" spans="10:16" x14ac:dyDescent="0.25">
      <c r="J1393" s="3">
        <f t="shared" si="25"/>
        <v>-16.840292660104293</v>
      </c>
      <c r="K1393" s="3">
        <f t="shared" si="26"/>
        <v>-7.7755033054187912</v>
      </c>
      <c r="L1393" s="3">
        <f t="shared" si="27"/>
        <v>-69.267868167534161</v>
      </c>
      <c r="M1393" s="3">
        <f t="shared" si="28"/>
        <v>-13.58298309591499</v>
      </c>
      <c r="N1393" s="3" t="e">
        <f>(-0.25*B1368-#REF!)/0.5</f>
        <v>#REF!</v>
      </c>
      <c r="O1393" s="3" t="e">
        <f>#REF!/#REF!</f>
        <v>#REF!</v>
      </c>
      <c r="P1393" s="3" t="e">
        <f>-0.5*B1368-#REF!</f>
        <v>#REF!</v>
      </c>
    </row>
    <row r="1394" spans="10:16" x14ac:dyDescent="0.25">
      <c r="J1394" s="3">
        <f t="shared" si="25"/>
        <v>-16.840292660104293</v>
      </c>
      <c r="K1394" s="3">
        <f t="shared" si="26"/>
        <v>-7.7755033054187912</v>
      </c>
      <c r="L1394" s="3">
        <f t="shared" si="27"/>
        <v>-69.267868167534161</v>
      </c>
      <c r="M1394" s="3">
        <f t="shared" si="28"/>
        <v>-13.58298309591499</v>
      </c>
      <c r="N1394" s="3" t="e">
        <f>(-0.25*B1369-#REF!)/0.5</f>
        <v>#REF!</v>
      </c>
      <c r="O1394" s="3" t="e">
        <f>#REF!/#REF!</f>
        <v>#REF!</v>
      </c>
      <c r="P1394" s="3" t="e">
        <f>-0.5*B1369-#REF!</f>
        <v>#REF!</v>
      </c>
    </row>
    <row r="1395" spans="10:16" x14ac:dyDescent="0.25">
      <c r="J1395" s="3">
        <f t="shared" si="25"/>
        <v>-16.840292660104293</v>
      </c>
      <c r="K1395" s="3">
        <f t="shared" si="26"/>
        <v>-7.7755033054187912</v>
      </c>
      <c r="L1395" s="3">
        <f t="shared" si="27"/>
        <v>-69.267868167534161</v>
      </c>
      <c r="M1395" s="3">
        <f t="shared" si="28"/>
        <v>-13.58298309591499</v>
      </c>
      <c r="N1395" s="3" t="e">
        <f>(-0.25*B1370-#REF!)/0.5</f>
        <v>#REF!</v>
      </c>
      <c r="O1395" s="3" t="e">
        <f>#REF!/#REF!</f>
        <v>#REF!</v>
      </c>
      <c r="P1395" s="3" t="e">
        <f>-0.5*B1370-#REF!</f>
        <v>#REF!</v>
      </c>
    </row>
    <row r="1396" spans="10:16" x14ac:dyDescent="0.25">
      <c r="J1396" s="3">
        <f t="shared" si="25"/>
        <v>-16.840292660104293</v>
      </c>
      <c r="K1396" s="3">
        <f t="shared" si="26"/>
        <v>-7.7755033054187912</v>
      </c>
      <c r="L1396" s="3">
        <f t="shared" si="27"/>
        <v>-69.267868167534161</v>
      </c>
      <c r="M1396" s="3">
        <f t="shared" si="28"/>
        <v>-13.58298309591499</v>
      </c>
      <c r="N1396" s="3" t="e">
        <f>(-0.25*B1371-#REF!)/0.5</f>
        <v>#REF!</v>
      </c>
      <c r="O1396" s="3" t="e">
        <f>#REF!/#REF!</f>
        <v>#REF!</v>
      </c>
      <c r="P1396" s="3" t="e">
        <f>-0.5*B1371-#REF!</f>
        <v>#REF!</v>
      </c>
    </row>
    <row r="1397" spans="10:16" x14ac:dyDescent="0.25">
      <c r="J1397" s="3">
        <f t="shared" si="25"/>
        <v>-16.840292660104293</v>
      </c>
      <c r="K1397" s="3">
        <f t="shared" si="26"/>
        <v>-7.7755033054187912</v>
      </c>
      <c r="L1397" s="3">
        <f t="shared" si="27"/>
        <v>-69.267868167534161</v>
      </c>
      <c r="M1397" s="3">
        <f t="shared" si="28"/>
        <v>-13.58298309591499</v>
      </c>
      <c r="N1397" s="3" t="e">
        <f>(-0.25*B1372-#REF!)/0.5</f>
        <v>#REF!</v>
      </c>
      <c r="O1397" s="3" t="e">
        <f>#REF!/#REF!</f>
        <v>#REF!</v>
      </c>
      <c r="P1397" s="3" t="e">
        <f>-0.5*B1372-#REF!</f>
        <v>#REF!</v>
      </c>
    </row>
    <row r="1398" spans="10:16" x14ac:dyDescent="0.25">
      <c r="J1398" s="3">
        <f t="shared" si="25"/>
        <v>-16.840292660104293</v>
      </c>
      <c r="K1398" s="3">
        <f t="shared" si="26"/>
        <v>-7.7755033054187912</v>
      </c>
      <c r="L1398" s="3">
        <f t="shared" si="27"/>
        <v>-69.267868167534161</v>
      </c>
      <c r="M1398" s="3">
        <f t="shared" si="28"/>
        <v>-13.58298309591499</v>
      </c>
      <c r="N1398" s="3" t="e">
        <f>(-0.25*B1373-#REF!)/0.5</f>
        <v>#REF!</v>
      </c>
      <c r="O1398" s="3" t="e">
        <f>#REF!/#REF!</f>
        <v>#REF!</v>
      </c>
      <c r="P1398" s="3" t="e">
        <f>-0.5*B1373-#REF!</f>
        <v>#REF!</v>
      </c>
    </row>
    <row r="1399" spans="10:16" x14ac:dyDescent="0.25">
      <c r="J1399" s="3">
        <f t="shared" si="25"/>
        <v>-16.840292660104293</v>
      </c>
      <c r="K1399" s="3">
        <f t="shared" si="26"/>
        <v>-7.7755033054187912</v>
      </c>
      <c r="L1399" s="3">
        <f t="shared" si="27"/>
        <v>-69.267868167534161</v>
      </c>
      <c r="M1399" s="3">
        <f t="shared" si="28"/>
        <v>-13.58298309591499</v>
      </c>
      <c r="N1399" s="3" t="e">
        <f>(-0.25*B1374-#REF!)/0.5</f>
        <v>#REF!</v>
      </c>
      <c r="O1399" s="3" t="e">
        <f>#REF!/#REF!</f>
        <v>#REF!</v>
      </c>
      <c r="P1399" s="3" t="e">
        <f>-0.5*B1374-#REF!</f>
        <v>#REF!</v>
      </c>
    </row>
    <row r="1400" spans="10:16" x14ac:dyDescent="0.25">
      <c r="J1400" s="3">
        <f t="shared" si="25"/>
        <v>-16.840292660104293</v>
      </c>
      <c r="K1400" s="3">
        <f t="shared" si="26"/>
        <v>-7.7755033054187912</v>
      </c>
      <c r="L1400" s="3">
        <f t="shared" si="27"/>
        <v>-69.267868167534161</v>
      </c>
      <c r="M1400" s="3">
        <f t="shared" si="28"/>
        <v>-13.58298309591499</v>
      </c>
      <c r="N1400" s="3" t="e">
        <f>(-0.25*B1375-#REF!)/0.5</f>
        <v>#REF!</v>
      </c>
      <c r="O1400" s="3" t="e">
        <f>#REF!/#REF!</f>
        <v>#REF!</v>
      </c>
      <c r="P1400" s="3" t="e">
        <f>-0.5*B1375-#REF!</f>
        <v>#REF!</v>
      </c>
    </row>
    <row r="1401" spans="10:16" x14ac:dyDescent="0.25">
      <c r="J1401" s="3">
        <f t="shared" ref="J1401:J1444" si="29">$AC$16-B1376</f>
        <v>-16.840292660104293</v>
      </c>
      <c r="K1401" s="3">
        <f t="shared" ref="K1401:K1444" si="30">-0.5*B1376-$AC$17</f>
        <v>-7.7755033054187912</v>
      </c>
      <c r="L1401" s="3">
        <f t="shared" ref="L1401:L1444" si="31">-0.75*B1376-$AC$18</f>
        <v>-69.267868167534161</v>
      </c>
      <c r="M1401" s="3">
        <f t="shared" ref="M1401:M1444" si="32">-B1376-$AC$19</f>
        <v>-13.58298309591499</v>
      </c>
      <c r="N1401" s="3" t="e">
        <f>(-0.25*B1376-#REF!)/0.5</f>
        <v>#REF!</v>
      </c>
      <c r="O1401" s="3" t="e">
        <f>#REF!/#REF!</f>
        <v>#REF!</v>
      </c>
      <c r="P1401" s="3" t="e">
        <f>-0.5*B1376-#REF!</f>
        <v>#REF!</v>
      </c>
    </row>
    <row r="1402" spans="10:16" x14ac:dyDescent="0.25">
      <c r="J1402" s="3">
        <f t="shared" si="29"/>
        <v>-16.840292660104293</v>
      </c>
      <c r="K1402" s="3">
        <f t="shared" si="30"/>
        <v>-7.7755033054187912</v>
      </c>
      <c r="L1402" s="3">
        <f t="shared" si="31"/>
        <v>-69.267868167534161</v>
      </c>
      <c r="M1402" s="3">
        <f t="shared" si="32"/>
        <v>-13.58298309591499</v>
      </c>
      <c r="N1402" s="3" t="e">
        <f>(-0.25*B1377-#REF!)/0.5</f>
        <v>#REF!</v>
      </c>
      <c r="O1402" s="3" t="e">
        <f>#REF!/#REF!</f>
        <v>#REF!</v>
      </c>
      <c r="P1402" s="3" t="e">
        <f>-0.5*B1377-#REF!</f>
        <v>#REF!</v>
      </c>
    </row>
    <row r="1403" spans="10:16" x14ac:dyDescent="0.25">
      <c r="J1403" s="3">
        <f t="shared" si="29"/>
        <v>-16.840292660104293</v>
      </c>
      <c r="K1403" s="3">
        <f t="shared" si="30"/>
        <v>-7.7755033054187912</v>
      </c>
      <c r="L1403" s="3">
        <f t="shared" si="31"/>
        <v>-69.267868167534161</v>
      </c>
      <c r="M1403" s="3">
        <f t="shared" si="32"/>
        <v>-13.58298309591499</v>
      </c>
      <c r="N1403" s="3" t="e">
        <f>(-0.25*B1378-#REF!)/0.5</f>
        <v>#REF!</v>
      </c>
      <c r="O1403" s="3" t="e">
        <f>#REF!/#REF!</f>
        <v>#REF!</v>
      </c>
      <c r="P1403" s="3" t="e">
        <f>-0.5*B1378-#REF!</f>
        <v>#REF!</v>
      </c>
    </row>
    <row r="1404" spans="10:16" x14ac:dyDescent="0.25">
      <c r="J1404" s="3">
        <f t="shared" si="29"/>
        <v>-16.840292660104293</v>
      </c>
      <c r="K1404" s="3">
        <f t="shared" si="30"/>
        <v>-7.7755033054187912</v>
      </c>
      <c r="L1404" s="3">
        <f t="shared" si="31"/>
        <v>-69.267868167534161</v>
      </c>
      <c r="M1404" s="3">
        <f t="shared" si="32"/>
        <v>-13.58298309591499</v>
      </c>
      <c r="N1404" s="3" t="e">
        <f>(-0.25*B1379-#REF!)/0.5</f>
        <v>#REF!</v>
      </c>
      <c r="O1404" s="3" t="e">
        <f>#REF!/#REF!</f>
        <v>#REF!</v>
      </c>
      <c r="P1404" s="3" t="e">
        <f>-0.5*B1379-#REF!</f>
        <v>#REF!</v>
      </c>
    </row>
    <row r="1405" spans="10:16" x14ac:dyDescent="0.25">
      <c r="J1405" s="3">
        <f t="shared" si="29"/>
        <v>-16.840292660104293</v>
      </c>
      <c r="K1405" s="3">
        <f t="shared" si="30"/>
        <v>-7.7755033054187912</v>
      </c>
      <c r="L1405" s="3">
        <f t="shared" si="31"/>
        <v>-69.267868167534161</v>
      </c>
      <c r="M1405" s="3">
        <f t="shared" si="32"/>
        <v>-13.58298309591499</v>
      </c>
      <c r="N1405" s="3" t="e">
        <f>(-0.25*B1380-#REF!)/0.5</f>
        <v>#REF!</v>
      </c>
      <c r="O1405" s="3" t="e">
        <f>#REF!/#REF!</f>
        <v>#REF!</v>
      </c>
      <c r="P1405" s="3" t="e">
        <f>-0.5*B1380-#REF!</f>
        <v>#REF!</v>
      </c>
    </row>
    <row r="1406" spans="10:16" x14ac:dyDescent="0.25">
      <c r="J1406" s="3">
        <f t="shared" si="29"/>
        <v>-16.840292660104293</v>
      </c>
      <c r="K1406" s="3">
        <f t="shared" si="30"/>
        <v>-7.7755033054187912</v>
      </c>
      <c r="L1406" s="3">
        <f t="shared" si="31"/>
        <v>-69.267868167534161</v>
      </c>
      <c r="M1406" s="3">
        <f t="shared" si="32"/>
        <v>-13.58298309591499</v>
      </c>
      <c r="N1406" s="3" t="e">
        <f>(-0.25*B1381-#REF!)/0.5</f>
        <v>#REF!</v>
      </c>
      <c r="O1406" s="3" t="e">
        <f>#REF!/#REF!</f>
        <v>#REF!</v>
      </c>
      <c r="P1406" s="3" t="e">
        <f>-0.5*B1381-#REF!</f>
        <v>#REF!</v>
      </c>
    </row>
    <row r="1407" spans="10:16" x14ac:dyDescent="0.25">
      <c r="J1407" s="3">
        <f t="shared" si="29"/>
        <v>-16.840292660104293</v>
      </c>
      <c r="K1407" s="3">
        <f t="shared" si="30"/>
        <v>-7.7755033054187912</v>
      </c>
      <c r="L1407" s="3">
        <f t="shared" si="31"/>
        <v>-69.267868167534161</v>
      </c>
      <c r="M1407" s="3">
        <f t="shared" si="32"/>
        <v>-13.58298309591499</v>
      </c>
      <c r="N1407" s="3" t="e">
        <f>(-0.25*B1382-#REF!)/0.5</f>
        <v>#REF!</v>
      </c>
      <c r="O1407" s="3" t="e">
        <f>#REF!/#REF!</f>
        <v>#REF!</v>
      </c>
      <c r="P1407" s="3" t="e">
        <f>-0.5*B1382-#REF!</f>
        <v>#REF!</v>
      </c>
    </row>
    <row r="1408" spans="10:16" x14ac:dyDescent="0.25">
      <c r="J1408" s="3">
        <f t="shared" si="29"/>
        <v>-16.840292660104293</v>
      </c>
      <c r="K1408" s="3">
        <f t="shared" si="30"/>
        <v>-7.7755033054187912</v>
      </c>
      <c r="L1408" s="3">
        <f t="shared" si="31"/>
        <v>-69.267868167534161</v>
      </c>
      <c r="M1408" s="3">
        <f t="shared" si="32"/>
        <v>-13.58298309591499</v>
      </c>
      <c r="N1408" s="3" t="e">
        <f>(-0.25*B1383-#REF!)/0.5</f>
        <v>#REF!</v>
      </c>
      <c r="O1408" s="3" t="e">
        <f>#REF!/#REF!</f>
        <v>#REF!</v>
      </c>
      <c r="P1408" s="3" t="e">
        <f>-0.5*B1383-#REF!</f>
        <v>#REF!</v>
      </c>
    </row>
    <row r="1409" spans="10:16" x14ac:dyDescent="0.25">
      <c r="J1409" s="3">
        <f t="shared" si="29"/>
        <v>-16.840292660104293</v>
      </c>
      <c r="K1409" s="3">
        <f t="shared" si="30"/>
        <v>-7.7755033054187912</v>
      </c>
      <c r="L1409" s="3">
        <f t="shared" si="31"/>
        <v>-69.267868167534161</v>
      </c>
      <c r="M1409" s="3">
        <f t="shared" si="32"/>
        <v>-13.58298309591499</v>
      </c>
      <c r="N1409" s="3" t="e">
        <f>(-0.25*B1384-#REF!)/0.5</f>
        <v>#REF!</v>
      </c>
      <c r="O1409" s="3" t="e">
        <f>#REF!/#REF!</f>
        <v>#REF!</v>
      </c>
      <c r="P1409" s="3" t="e">
        <f>-0.5*B1384-#REF!</f>
        <v>#REF!</v>
      </c>
    </row>
    <row r="1410" spans="10:16" x14ac:dyDescent="0.25">
      <c r="J1410" s="3">
        <f t="shared" si="29"/>
        <v>-16.840292660104293</v>
      </c>
      <c r="K1410" s="3">
        <f t="shared" si="30"/>
        <v>-7.7755033054187912</v>
      </c>
      <c r="L1410" s="3">
        <f t="shared" si="31"/>
        <v>-69.267868167534161</v>
      </c>
      <c r="M1410" s="3">
        <f t="shared" si="32"/>
        <v>-13.58298309591499</v>
      </c>
      <c r="N1410" s="3" t="e">
        <f>(-0.25*B1385-#REF!)/0.5</f>
        <v>#REF!</v>
      </c>
      <c r="O1410" s="3" t="e">
        <f>#REF!/#REF!</f>
        <v>#REF!</v>
      </c>
      <c r="P1410" s="3" t="e">
        <f>-0.5*B1385-#REF!</f>
        <v>#REF!</v>
      </c>
    </row>
    <row r="1411" spans="10:16" x14ac:dyDescent="0.25">
      <c r="J1411" s="3">
        <f t="shared" si="29"/>
        <v>-16.840292660104293</v>
      </c>
      <c r="K1411" s="3">
        <f t="shared" si="30"/>
        <v>-7.7755033054187912</v>
      </c>
      <c r="L1411" s="3">
        <f t="shared" si="31"/>
        <v>-69.267868167534161</v>
      </c>
      <c r="M1411" s="3">
        <f t="shared" si="32"/>
        <v>-13.58298309591499</v>
      </c>
      <c r="N1411" s="3" t="e">
        <f>(-0.25*B1386-#REF!)/0.5</f>
        <v>#REF!</v>
      </c>
      <c r="O1411" s="3" t="e">
        <f>#REF!/#REF!</f>
        <v>#REF!</v>
      </c>
      <c r="P1411" s="3" t="e">
        <f>-0.5*B1386-#REF!</f>
        <v>#REF!</v>
      </c>
    </row>
    <row r="1412" spans="10:16" x14ac:dyDescent="0.25">
      <c r="J1412" s="3">
        <f t="shared" si="29"/>
        <v>-16.840292660104293</v>
      </c>
      <c r="K1412" s="3">
        <f t="shared" si="30"/>
        <v>-7.7755033054187912</v>
      </c>
      <c r="L1412" s="3">
        <f t="shared" si="31"/>
        <v>-69.267868167534161</v>
      </c>
      <c r="M1412" s="3">
        <f t="shared" si="32"/>
        <v>-13.58298309591499</v>
      </c>
      <c r="N1412" s="3" t="e">
        <f>(-0.25*B1387-#REF!)/0.5</f>
        <v>#REF!</v>
      </c>
      <c r="O1412" s="3" t="e">
        <f>#REF!/#REF!</f>
        <v>#REF!</v>
      </c>
      <c r="P1412" s="3" t="e">
        <f>-0.5*B1387-#REF!</f>
        <v>#REF!</v>
      </c>
    </row>
    <row r="1413" spans="10:16" x14ac:dyDescent="0.25">
      <c r="J1413" s="3">
        <f t="shared" si="29"/>
        <v>-16.840292660104293</v>
      </c>
      <c r="K1413" s="3">
        <f t="shared" si="30"/>
        <v>-7.7755033054187912</v>
      </c>
      <c r="L1413" s="3">
        <f t="shared" si="31"/>
        <v>-69.267868167534161</v>
      </c>
      <c r="M1413" s="3">
        <f t="shared" si="32"/>
        <v>-13.58298309591499</v>
      </c>
      <c r="N1413" s="3" t="e">
        <f>(-0.25*B1388-#REF!)/0.5</f>
        <v>#REF!</v>
      </c>
      <c r="O1413" s="3" t="e">
        <f>#REF!/#REF!</f>
        <v>#REF!</v>
      </c>
      <c r="P1413" s="3" t="e">
        <f>-0.5*B1388-#REF!</f>
        <v>#REF!</v>
      </c>
    </row>
    <row r="1414" spans="10:16" x14ac:dyDescent="0.25">
      <c r="J1414" s="3">
        <f t="shared" si="29"/>
        <v>-16.840292660104293</v>
      </c>
      <c r="K1414" s="3">
        <f t="shared" si="30"/>
        <v>-7.7755033054187912</v>
      </c>
      <c r="L1414" s="3">
        <f t="shared" si="31"/>
        <v>-69.267868167534161</v>
      </c>
      <c r="M1414" s="3">
        <f t="shared" si="32"/>
        <v>-13.58298309591499</v>
      </c>
      <c r="N1414" s="3" t="e">
        <f>(-0.25*B1389-#REF!)/0.5</f>
        <v>#REF!</v>
      </c>
      <c r="O1414" s="3" t="e">
        <f>#REF!/#REF!</f>
        <v>#REF!</v>
      </c>
      <c r="P1414" s="3" t="e">
        <f>-0.5*B1389-#REF!</f>
        <v>#REF!</v>
      </c>
    </row>
    <row r="1415" spans="10:16" x14ac:dyDescent="0.25">
      <c r="J1415" s="3">
        <f t="shared" si="29"/>
        <v>-16.840292660104293</v>
      </c>
      <c r="K1415" s="3">
        <f t="shared" si="30"/>
        <v>-7.7755033054187912</v>
      </c>
      <c r="L1415" s="3">
        <f t="shared" si="31"/>
        <v>-69.267868167534161</v>
      </c>
      <c r="M1415" s="3">
        <f t="shared" si="32"/>
        <v>-13.58298309591499</v>
      </c>
      <c r="N1415" s="3" t="e">
        <f>(-0.25*B1390-#REF!)/0.5</f>
        <v>#REF!</v>
      </c>
      <c r="O1415" s="3" t="e">
        <f>#REF!/#REF!</f>
        <v>#REF!</v>
      </c>
      <c r="P1415" s="3" t="e">
        <f>-0.5*B1390-#REF!</f>
        <v>#REF!</v>
      </c>
    </row>
    <row r="1416" spans="10:16" x14ac:dyDescent="0.25">
      <c r="J1416" s="3">
        <f t="shared" si="29"/>
        <v>-16.840292660104293</v>
      </c>
      <c r="K1416" s="3">
        <f t="shared" si="30"/>
        <v>-7.7755033054187912</v>
      </c>
      <c r="L1416" s="3">
        <f t="shared" si="31"/>
        <v>-69.267868167534161</v>
      </c>
      <c r="M1416" s="3">
        <f t="shared" si="32"/>
        <v>-13.58298309591499</v>
      </c>
      <c r="N1416" s="3" t="e">
        <f>(-0.25*B1391-#REF!)/0.5</f>
        <v>#REF!</v>
      </c>
      <c r="O1416" s="3" t="e">
        <f>#REF!/#REF!</f>
        <v>#REF!</v>
      </c>
      <c r="P1416" s="3" t="e">
        <f>-0.5*B1391-#REF!</f>
        <v>#REF!</v>
      </c>
    </row>
    <row r="1417" spans="10:16" x14ac:dyDescent="0.25">
      <c r="J1417" s="3">
        <f t="shared" si="29"/>
        <v>-16.840292660104293</v>
      </c>
      <c r="K1417" s="3">
        <f t="shared" si="30"/>
        <v>-7.7755033054187912</v>
      </c>
      <c r="L1417" s="3">
        <f t="shared" si="31"/>
        <v>-69.267868167534161</v>
      </c>
      <c r="M1417" s="3">
        <f t="shared" si="32"/>
        <v>-13.58298309591499</v>
      </c>
      <c r="N1417" s="3" t="e">
        <f>(-0.25*B1392-#REF!)/0.5</f>
        <v>#REF!</v>
      </c>
      <c r="O1417" s="3" t="e">
        <f>#REF!/#REF!</f>
        <v>#REF!</v>
      </c>
      <c r="P1417" s="3" t="e">
        <f>-0.5*B1392-#REF!</f>
        <v>#REF!</v>
      </c>
    </row>
    <row r="1418" spans="10:16" x14ac:dyDescent="0.25">
      <c r="J1418" s="3">
        <f t="shared" si="29"/>
        <v>-16.840292660104293</v>
      </c>
      <c r="K1418" s="3">
        <f t="shared" si="30"/>
        <v>-7.7755033054187912</v>
      </c>
      <c r="L1418" s="3">
        <f t="shared" si="31"/>
        <v>-69.267868167534161</v>
      </c>
      <c r="M1418" s="3">
        <f t="shared" si="32"/>
        <v>-13.58298309591499</v>
      </c>
      <c r="N1418" s="3" t="e">
        <f>(-0.25*B1393-#REF!)/0.5</f>
        <v>#REF!</v>
      </c>
      <c r="O1418" s="3" t="e">
        <f>#REF!/#REF!</f>
        <v>#REF!</v>
      </c>
      <c r="P1418" s="3" t="e">
        <f>-0.5*B1393-#REF!</f>
        <v>#REF!</v>
      </c>
    </row>
    <row r="1419" spans="10:16" x14ac:dyDescent="0.25">
      <c r="J1419" s="3">
        <f t="shared" si="29"/>
        <v>-16.840292660104293</v>
      </c>
      <c r="K1419" s="3">
        <f t="shared" si="30"/>
        <v>-7.7755033054187912</v>
      </c>
      <c r="L1419" s="3">
        <f t="shared" si="31"/>
        <v>-69.267868167534161</v>
      </c>
      <c r="M1419" s="3">
        <f t="shared" si="32"/>
        <v>-13.58298309591499</v>
      </c>
      <c r="N1419" s="3" t="e">
        <f>(-0.25*B1394-#REF!)/0.5</f>
        <v>#REF!</v>
      </c>
      <c r="O1419" s="3" t="e">
        <f>#REF!/#REF!</f>
        <v>#REF!</v>
      </c>
      <c r="P1419" s="3" t="e">
        <f>-0.5*B1394-#REF!</f>
        <v>#REF!</v>
      </c>
    </row>
    <row r="1420" spans="10:16" x14ac:dyDescent="0.25">
      <c r="J1420" s="3">
        <f t="shared" si="29"/>
        <v>-16.840292660104293</v>
      </c>
      <c r="K1420" s="3">
        <f t="shared" si="30"/>
        <v>-7.7755033054187912</v>
      </c>
      <c r="L1420" s="3">
        <f t="shared" si="31"/>
        <v>-69.267868167534161</v>
      </c>
      <c r="M1420" s="3">
        <f t="shared" si="32"/>
        <v>-13.58298309591499</v>
      </c>
      <c r="N1420" s="3" t="e">
        <f>(-0.25*B1395-#REF!)/0.5</f>
        <v>#REF!</v>
      </c>
      <c r="O1420" s="3" t="e">
        <f>#REF!/#REF!</f>
        <v>#REF!</v>
      </c>
      <c r="P1420" s="3" t="e">
        <f>-0.5*B1395-#REF!</f>
        <v>#REF!</v>
      </c>
    </row>
    <row r="1421" spans="10:16" x14ac:dyDescent="0.25">
      <c r="J1421" s="3">
        <f t="shared" si="29"/>
        <v>-16.840292660104293</v>
      </c>
      <c r="K1421" s="3">
        <f t="shared" si="30"/>
        <v>-7.7755033054187912</v>
      </c>
      <c r="L1421" s="3">
        <f t="shared" si="31"/>
        <v>-69.267868167534161</v>
      </c>
      <c r="M1421" s="3">
        <f t="shared" si="32"/>
        <v>-13.58298309591499</v>
      </c>
      <c r="N1421" s="3" t="e">
        <f>(-0.25*B1396-#REF!)/0.5</f>
        <v>#REF!</v>
      </c>
      <c r="O1421" s="3" t="e">
        <f>#REF!/#REF!</f>
        <v>#REF!</v>
      </c>
      <c r="P1421" s="3" t="e">
        <f>-0.5*B1396-#REF!</f>
        <v>#REF!</v>
      </c>
    </row>
    <row r="1422" spans="10:16" x14ac:dyDescent="0.25">
      <c r="J1422" s="3">
        <f t="shared" si="29"/>
        <v>-16.840292660104293</v>
      </c>
      <c r="K1422" s="3">
        <f t="shared" si="30"/>
        <v>-7.7755033054187912</v>
      </c>
      <c r="L1422" s="3">
        <f t="shared" si="31"/>
        <v>-69.267868167534161</v>
      </c>
      <c r="M1422" s="3">
        <f t="shared" si="32"/>
        <v>-13.58298309591499</v>
      </c>
      <c r="N1422" s="3" t="e">
        <f>(-0.25*B1397-#REF!)/0.5</f>
        <v>#REF!</v>
      </c>
      <c r="O1422" s="3" t="e">
        <f>#REF!/#REF!</f>
        <v>#REF!</v>
      </c>
      <c r="P1422" s="3" t="e">
        <f>-0.5*B1397-#REF!</f>
        <v>#REF!</v>
      </c>
    </row>
    <row r="1423" spans="10:16" x14ac:dyDescent="0.25">
      <c r="J1423" s="3">
        <f t="shared" si="29"/>
        <v>-16.840292660104293</v>
      </c>
      <c r="K1423" s="3">
        <f t="shared" si="30"/>
        <v>-7.7755033054187912</v>
      </c>
      <c r="L1423" s="3">
        <f t="shared" si="31"/>
        <v>-69.267868167534161</v>
      </c>
      <c r="M1423" s="3">
        <f t="shared" si="32"/>
        <v>-13.58298309591499</v>
      </c>
      <c r="N1423" s="3" t="e">
        <f>(-0.25*B1398-#REF!)/0.5</f>
        <v>#REF!</v>
      </c>
      <c r="O1423" s="3" t="e">
        <f>#REF!/#REF!</f>
        <v>#REF!</v>
      </c>
      <c r="P1423" s="3" t="e">
        <f>-0.5*B1398-#REF!</f>
        <v>#REF!</v>
      </c>
    </row>
    <row r="1424" spans="10:16" x14ac:dyDescent="0.25">
      <c r="J1424" s="3">
        <f t="shared" si="29"/>
        <v>-16.840292660104293</v>
      </c>
      <c r="K1424" s="3">
        <f t="shared" si="30"/>
        <v>-7.7755033054187912</v>
      </c>
      <c r="L1424" s="3">
        <f t="shared" si="31"/>
        <v>-69.267868167534161</v>
      </c>
      <c r="M1424" s="3">
        <f t="shared" si="32"/>
        <v>-13.58298309591499</v>
      </c>
      <c r="N1424" s="3" t="e">
        <f>(-0.25*B1399-#REF!)/0.5</f>
        <v>#REF!</v>
      </c>
      <c r="O1424" s="3" t="e">
        <f>#REF!/#REF!</f>
        <v>#REF!</v>
      </c>
      <c r="P1424" s="3" t="e">
        <f>-0.5*B1399-#REF!</f>
        <v>#REF!</v>
      </c>
    </row>
    <row r="1425" spans="10:16" x14ac:dyDescent="0.25">
      <c r="J1425" s="3">
        <f t="shared" si="29"/>
        <v>-16.840292660104293</v>
      </c>
      <c r="K1425" s="3">
        <f t="shared" si="30"/>
        <v>-7.7755033054187912</v>
      </c>
      <c r="L1425" s="3">
        <f t="shared" si="31"/>
        <v>-69.267868167534161</v>
      </c>
      <c r="M1425" s="3">
        <f t="shared" si="32"/>
        <v>-13.58298309591499</v>
      </c>
      <c r="N1425" s="3" t="e">
        <f>(-0.25*B1400-#REF!)/0.5</f>
        <v>#REF!</v>
      </c>
      <c r="O1425" s="3" t="e">
        <f>#REF!/#REF!</f>
        <v>#REF!</v>
      </c>
      <c r="P1425" s="3" t="e">
        <f>-0.5*B1400-#REF!</f>
        <v>#REF!</v>
      </c>
    </row>
    <row r="1426" spans="10:16" x14ac:dyDescent="0.25">
      <c r="J1426" s="3">
        <f t="shared" si="29"/>
        <v>-16.840292660104293</v>
      </c>
      <c r="K1426" s="3">
        <f t="shared" si="30"/>
        <v>-7.7755033054187912</v>
      </c>
      <c r="L1426" s="3">
        <f t="shared" si="31"/>
        <v>-69.267868167534161</v>
      </c>
      <c r="M1426" s="3">
        <f t="shared" si="32"/>
        <v>-13.58298309591499</v>
      </c>
      <c r="N1426" s="3" t="e">
        <f>(-0.25*B1401-#REF!)/0.5</f>
        <v>#REF!</v>
      </c>
      <c r="O1426" s="3" t="e">
        <f>#REF!/#REF!</f>
        <v>#REF!</v>
      </c>
      <c r="P1426" s="3" t="e">
        <f>-0.5*B1401-#REF!</f>
        <v>#REF!</v>
      </c>
    </row>
    <row r="1427" spans="10:16" x14ac:dyDescent="0.25">
      <c r="J1427" s="3">
        <f t="shared" si="29"/>
        <v>-16.840292660104293</v>
      </c>
      <c r="K1427" s="3">
        <f t="shared" si="30"/>
        <v>-7.7755033054187912</v>
      </c>
      <c r="L1427" s="3">
        <f t="shared" si="31"/>
        <v>-69.267868167534161</v>
      </c>
      <c r="M1427" s="3">
        <f t="shared" si="32"/>
        <v>-13.58298309591499</v>
      </c>
      <c r="N1427" s="3" t="e">
        <f>(-0.25*B1402-#REF!)/0.5</f>
        <v>#REF!</v>
      </c>
      <c r="O1427" s="3" t="e">
        <f>#REF!/#REF!</f>
        <v>#REF!</v>
      </c>
      <c r="P1427" s="3" t="e">
        <f>-0.5*B1402-#REF!</f>
        <v>#REF!</v>
      </c>
    </row>
    <row r="1428" spans="10:16" x14ac:dyDescent="0.25">
      <c r="J1428" s="3">
        <f t="shared" si="29"/>
        <v>-16.840292660104293</v>
      </c>
      <c r="K1428" s="3">
        <f t="shared" si="30"/>
        <v>-7.7755033054187912</v>
      </c>
      <c r="L1428" s="3">
        <f t="shared" si="31"/>
        <v>-69.267868167534161</v>
      </c>
      <c r="M1428" s="3">
        <f t="shared" si="32"/>
        <v>-13.58298309591499</v>
      </c>
      <c r="N1428" s="3" t="e">
        <f>(-0.25*B1403-#REF!)/0.5</f>
        <v>#REF!</v>
      </c>
      <c r="O1428" s="3" t="e">
        <f>#REF!/#REF!</f>
        <v>#REF!</v>
      </c>
      <c r="P1428" s="3" t="e">
        <f>-0.5*B1403-#REF!</f>
        <v>#REF!</v>
      </c>
    </row>
    <row r="1429" spans="10:16" x14ac:dyDescent="0.25">
      <c r="J1429" s="3">
        <f t="shared" si="29"/>
        <v>-16.840292660104293</v>
      </c>
      <c r="K1429" s="3">
        <f t="shared" si="30"/>
        <v>-7.7755033054187912</v>
      </c>
      <c r="L1429" s="3">
        <f t="shared" si="31"/>
        <v>-69.267868167534161</v>
      </c>
      <c r="M1429" s="3">
        <f t="shared" si="32"/>
        <v>-13.58298309591499</v>
      </c>
      <c r="N1429" s="3" t="e">
        <f>(-0.25*B1404-#REF!)/0.5</f>
        <v>#REF!</v>
      </c>
      <c r="O1429" s="3" t="e">
        <f>#REF!/#REF!</f>
        <v>#REF!</v>
      </c>
      <c r="P1429" s="3" t="e">
        <f>-0.5*B1404-#REF!</f>
        <v>#REF!</v>
      </c>
    </row>
    <row r="1430" spans="10:16" x14ac:dyDescent="0.25">
      <c r="J1430" s="3">
        <f t="shared" si="29"/>
        <v>-16.840292660104293</v>
      </c>
      <c r="K1430" s="3">
        <f t="shared" si="30"/>
        <v>-7.7755033054187912</v>
      </c>
      <c r="L1430" s="3">
        <f t="shared" si="31"/>
        <v>-69.267868167534161</v>
      </c>
      <c r="M1430" s="3">
        <f t="shared" si="32"/>
        <v>-13.58298309591499</v>
      </c>
      <c r="N1430" s="3" t="e">
        <f>(-0.25*B1405-#REF!)/0.5</f>
        <v>#REF!</v>
      </c>
      <c r="O1430" s="3" t="e">
        <f>#REF!/#REF!</f>
        <v>#REF!</v>
      </c>
      <c r="P1430" s="3" t="e">
        <f>-0.5*B1405-#REF!</f>
        <v>#REF!</v>
      </c>
    </row>
    <row r="1431" spans="10:16" x14ac:dyDescent="0.25">
      <c r="J1431" s="3">
        <f t="shared" si="29"/>
        <v>-16.840292660104293</v>
      </c>
      <c r="K1431" s="3">
        <f t="shared" si="30"/>
        <v>-7.7755033054187912</v>
      </c>
      <c r="L1431" s="3">
        <f t="shared" si="31"/>
        <v>-69.267868167534161</v>
      </c>
      <c r="M1431" s="3">
        <f t="shared" si="32"/>
        <v>-13.58298309591499</v>
      </c>
      <c r="N1431" s="3" t="e">
        <f>(-0.25*B1406-#REF!)/0.5</f>
        <v>#REF!</v>
      </c>
      <c r="O1431" s="3" t="e">
        <f>#REF!/#REF!</f>
        <v>#REF!</v>
      </c>
      <c r="P1431" s="3" t="e">
        <f>-0.5*B1406-#REF!</f>
        <v>#REF!</v>
      </c>
    </row>
    <row r="1432" spans="10:16" x14ac:dyDescent="0.25">
      <c r="J1432" s="3">
        <f t="shared" si="29"/>
        <v>-16.840292660104293</v>
      </c>
      <c r="K1432" s="3">
        <f t="shared" si="30"/>
        <v>-7.7755033054187912</v>
      </c>
      <c r="L1432" s="3">
        <f t="shared" si="31"/>
        <v>-69.267868167534161</v>
      </c>
      <c r="M1432" s="3">
        <f t="shared" si="32"/>
        <v>-13.58298309591499</v>
      </c>
      <c r="N1432" s="3" t="e">
        <f>(-0.25*B1407-#REF!)/0.5</f>
        <v>#REF!</v>
      </c>
      <c r="O1432" s="3" t="e">
        <f>#REF!/#REF!</f>
        <v>#REF!</v>
      </c>
      <c r="P1432" s="3" t="e">
        <f>-0.5*B1407-#REF!</f>
        <v>#REF!</v>
      </c>
    </row>
    <row r="1433" spans="10:16" x14ac:dyDescent="0.25">
      <c r="J1433" s="3">
        <f t="shared" si="29"/>
        <v>-16.840292660104293</v>
      </c>
      <c r="K1433" s="3">
        <f t="shared" si="30"/>
        <v>-7.7755033054187912</v>
      </c>
      <c r="L1433" s="3">
        <f t="shared" si="31"/>
        <v>-69.267868167534161</v>
      </c>
      <c r="M1433" s="3">
        <f t="shared" si="32"/>
        <v>-13.58298309591499</v>
      </c>
      <c r="N1433" s="3" t="e">
        <f>(-0.25*B1408-#REF!)/0.5</f>
        <v>#REF!</v>
      </c>
      <c r="O1433" s="3" t="e">
        <f>#REF!/#REF!</f>
        <v>#REF!</v>
      </c>
      <c r="P1433" s="3" t="e">
        <f>-0.5*B1408-#REF!</f>
        <v>#REF!</v>
      </c>
    </row>
    <row r="1434" spans="10:16" x14ac:dyDescent="0.25">
      <c r="J1434" s="3">
        <f t="shared" si="29"/>
        <v>-16.840292660104293</v>
      </c>
      <c r="K1434" s="3">
        <f t="shared" si="30"/>
        <v>-7.7755033054187912</v>
      </c>
      <c r="L1434" s="3">
        <f t="shared" si="31"/>
        <v>-69.267868167534161</v>
      </c>
      <c r="M1434" s="3">
        <f t="shared" si="32"/>
        <v>-13.58298309591499</v>
      </c>
      <c r="N1434" s="3" t="e">
        <f>(-0.25*B1409-#REF!)/0.5</f>
        <v>#REF!</v>
      </c>
      <c r="O1434" s="3" t="e">
        <f>#REF!/#REF!</f>
        <v>#REF!</v>
      </c>
      <c r="P1434" s="3" t="e">
        <f>-0.5*B1409-#REF!</f>
        <v>#REF!</v>
      </c>
    </row>
    <row r="1435" spans="10:16" x14ac:dyDescent="0.25">
      <c r="J1435" s="3">
        <f t="shared" si="29"/>
        <v>-16.840292660104293</v>
      </c>
      <c r="K1435" s="3">
        <f t="shared" si="30"/>
        <v>-7.7755033054187912</v>
      </c>
      <c r="L1435" s="3">
        <f t="shared" si="31"/>
        <v>-69.267868167534161</v>
      </c>
      <c r="M1435" s="3">
        <f t="shared" si="32"/>
        <v>-13.58298309591499</v>
      </c>
      <c r="N1435" s="3" t="e">
        <f>(-0.25*B1410-#REF!)/0.5</f>
        <v>#REF!</v>
      </c>
      <c r="O1435" s="3" t="e">
        <f>#REF!/#REF!</f>
        <v>#REF!</v>
      </c>
      <c r="P1435" s="3" t="e">
        <f>-0.5*B1410-#REF!</f>
        <v>#REF!</v>
      </c>
    </row>
    <row r="1436" spans="10:16" x14ac:dyDescent="0.25">
      <c r="J1436" s="3">
        <f t="shared" si="29"/>
        <v>-16.840292660104293</v>
      </c>
      <c r="K1436" s="3">
        <f t="shared" si="30"/>
        <v>-7.7755033054187912</v>
      </c>
      <c r="L1436" s="3">
        <f t="shared" si="31"/>
        <v>-69.267868167534161</v>
      </c>
      <c r="M1436" s="3">
        <f t="shared" si="32"/>
        <v>-13.58298309591499</v>
      </c>
      <c r="N1436" s="3" t="e">
        <f>(-0.25*B1411-#REF!)/0.5</f>
        <v>#REF!</v>
      </c>
      <c r="O1436" s="3" t="e">
        <f>#REF!/#REF!</f>
        <v>#REF!</v>
      </c>
      <c r="P1436" s="3" t="e">
        <f>-0.5*B1411-#REF!</f>
        <v>#REF!</v>
      </c>
    </row>
    <row r="1437" spans="10:16" x14ac:dyDescent="0.25">
      <c r="J1437" s="3">
        <f t="shared" si="29"/>
        <v>-16.840292660104293</v>
      </c>
      <c r="K1437" s="3">
        <f t="shared" si="30"/>
        <v>-7.7755033054187912</v>
      </c>
      <c r="L1437" s="3">
        <f t="shared" si="31"/>
        <v>-69.267868167534161</v>
      </c>
      <c r="M1437" s="3">
        <f t="shared" si="32"/>
        <v>-13.58298309591499</v>
      </c>
      <c r="N1437" s="3" t="e">
        <f>(-0.25*B1412-#REF!)/0.5</f>
        <v>#REF!</v>
      </c>
      <c r="O1437" s="3" t="e">
        <f>#REF!/#REF!</f>
        <v>#REF!</v>
      </c>
      <c r="P1437" s="3" t="e">
        <f>-0.5*B1412-#REF!</f>
        <v>#REF!</v>
      </c>
    </row>
    <row r="1438" spans="10:16" x14ac:dyDescent="0.25">
      <c r="J1438" s="3">
        <f t="shared" si="29"/>
        <v>-16.840292660104293</v>
      </c>
      <c r="K1438" s="3">
        <f t="shared" si="30"/>
        <v>-7.7755033054187912</v>
      </c>
      <c r="L1438" s="3">
        <f t="shared" si="31"/>
        <v>-69.267868167534161</v>
      </c>
      <c r="M1438" s="3">
        <f t="shared" si="32"/>
        <v>-13.58298309591499</v>
      </c>
      <c r="N1438" s="3" t="e">
        <f>(-0.25*B1413-#REF!)/0.5</f>
        <v>#REF!</v>
      </c>
      <c r="O1438" s="3" t="e">
        <f>#REF!/#REF!</f>
        <v>#REF!</v>
      </c>
      <c r="P1438" s="3" t="e">
        <f>-0.5*B1413-#REF!</f>
        <v>#REF!</v>
      </c>
    </row>
    <row r="1439" spans="10:16" x14ac:dyDescent="0.25">
      <c r="J1439" s="3">
        <f t="shared" si="29"/>
        <v>-16.840292660104293</v>
      </c>
      <c r="K1439" s="3">
        <f t="shared" si="30"/>
        <v>-7.7755033054187912</v>
      </c>
      <c r="L1439" s="3">
        <f t="shared" si="31"/>
        <v>-69.267868167534161</v>
      </c>
      <c r="M1439" s="3">
        <f t="shared" si="32"/>
        <v>-13.58298309591499</v>
      </c>
      <c r="N1439" s="3" t="e">
        <f>(-0.25*B1414-#REF!)/0.5</f>
        <v>#REF!</v>
      </c>
      <c r="O1439" s="3" t="e">
        <f>#REF!/#REF!</f>
        <v>#REF!</v>
      </c>
      <c r="P1439" s="3" t="e">
        <f>-0.5*B1414-#REF!</f>
        <v>#REF!</v>
      </c>
    </row>
    <row r="1440" spans="10:16" x14ac:dyDescent="0.25">
      <c r="J1440" s="3">
        <f t="shared" si="29"/>
        <v>-16.840292660104293</v>
      </c>
      <c r="K1440" s="3">
        <f t="shared" si="30"/>
        <v>-7.7755033054187912</v>
      </c>
      <c r="L1440" s="3">
        <f t="shared" si="31"/>
        <v>-69.267868167534161</v>
      </c>
      <c r="M1440" s="3">
        <f t="shared" si="32"/>
        <v>-13.58298309591499</v>
      </c>
      <c r="N1440" s="3" t="e">
        <f>(-0.25*B1415-#REF!)/0.5</f>
        <v>#REF!</v>
      </c>
      <c r="O1440" s="3" t="e">
        <f>#REF!/#REF!</f>
        <v>#REF!</v>
      </c>
      <c r="P1440" s="3" t="e">
        <f>-0.5*B1415-#REF!</f>
        <v>#REF!</v>
      </c>
    </row>
    <row r="1441" spans="10:16" x14ac:dyDescent="0.25">
      <c r="J1441" s="3">
        <f t="shared" si="29"/>
        <v>-16.840292660104293</v>
      </c>
      <c r="K1441" s="3">
        <f t="shared" si="30"/>
        <v>-7.7755033054187912</v>
      </c>
      <c r="L1441" s="3">
        <f t="shared" si="31"/>
        <v>-69.267868167534161</v>
      </c>
      <c r="M1441" s="3">
        <f t="shared" si="32"/>
        <v>-13.58298309591499</v>
      </c>
      <c r="N1441" s="3" t="e">
        <f>(-0.25*B1416-#REF!)/0.5</f>
        <v>#REF!</v>
      </c>
      <c r="O1441" s="3" t="e">
        <f>#REF!/#REF!</f>
        <v>#REF!</v>
      </c>
      <c r="P1441" s="3" t="e">
        <f>-0.5*B1416-#REF!</f>
        <v>#REF!</v>
      </c>
    </row>
    <row r="1442" spans="10:16" x14ac:dyDescent="0.25">
      <c r="J1442" s="3">
        <f t="shared" si="29"/>
        <v>-16.840292660104293</v>
      </c>
      <c r="K1442" s="3">
        <f t="shared" si="30"/>
        <v>-7.7755033054187912</v>
      </c>
      <c r="L1442" s="3">
        <f t="shared" si="31"/>
        <v>-69.267868167534161</v>
      </c>
      <c r="M1442" s="3">
        <f t="shared" si="32"/>
        <v>-13.58298309591499</v>
      </c>
      <c r="N1442" s="3" t="e">
        <f>(-0.25*B1417-#REF!)/0.5</f>
        <v>#REF!</v>
      </c>
      <c r="O1442" s="3" t="e">
        <f>#REF!/#REF!</f>
        <v>#REF!</v>
      </c>
      <c r="P1442" s="3" t="e">
        <f>-0.5*B1417-#REF!</f>
        <v>#REF!</v>
      </c>
    </row>
    <row r="1443" spans="10:16" x14ac:dyDescent="0.25">
      <c r="J1443" s="3">
        <f t="shared" si="29"/>
        <v>-16.840292660104293</v>
      </c>
      <c r="K1443" s="3">
        <f t="shared" si="30"/>
        <v>-7.7755033054187912</v>
      </c>
      <c r="L1443" s="3">
        <f t="shared" si="31"/>
        <v>-69.267868167534161</v>
      </c>
      <c r="M1443" s="3">
        <f t="shared" si="32"/>
        <v>-13.58298309591499</v>
      </c>
      <c r="N1443" s="3" t="e">
        <f>(-0.25*B1418-#REF!)/0.5</f>
        <v>#REF!</v>
      </c>
      <c r="O1443" s="3" t="e">
        <f>#REF!/#REF!</f>
        <v>#REF!</v>
      </c>
      <c r="P1443" s="3" t="e">
        <f>-0.5*B1418-#REF!</f>
        <v>#REF!</v>
      </c>
    </row>
    <row r="1444" spans="10:16" x14ac:dyDescent="0.25">
      <c r="J1444" s="3">
        <f t="shared" si="29"/>
        <v>-16.840292660104293</v>
      </c>
      <c r="K1444" s="3">
        <f t="shared" si="30"/>
        <v>-7.7755033054187912</v>
      </c>
      <c r="L1444" s="3">
        <f t="shared" si="31"/>
        <v>-69.267868167534161</v>
      </c>
      <c r="M1444" s="3">
        <f t="shared" si="32"/>
        <v>-13.58298309591499</v>
      </c>
      <c r="N1444" s="3" t="e">
        <f>(-0.25*B1419-#REF!)/0.5</f>
        <v>#REF!</v>
      </c>
      <c r="O1444" s="3" t="e">
        <f>#REF!/#REF!</f>
        <v>#REF!</v>
      </c>
      <c r="P1444" s="3" t="e">
        <f>-0.5*B1419-#REF!</f>
        <v>#REF!</v>
      </c>
    </row>
  </sheetData>
  <mergeCells count="45">
    <mergeCell ref="H7:I8"/>
    <mergeCell ref="J7:R7"/>
    <mergeCell ref="S7:AA7"/>
    <mergeCell ref="AB7:AB8"/>
    <mergeCell ref="AC7:AC8"/>
    <mergeCell ref="AQ56:AQ57"/>
    <mergeCell ref="AQ53:AQ54"/>
    <mergeCell ref="AQ50:AQ51"/>
    <mergeCell ref="AQ65:AQ66"/>
    <mergeCell ref="AQ62:AQ63"/>
    <mergeCell ref="AQ59:AQ60"/>
    <mergeCell ref="BG58:BG59"/>
    <mergeCell ref="BG61:BG62"/>
    <mergeCell ref="BG64:BG65"/>
    <mergeCell ref="BG49:BG50"/>
    <mergeCell ref="BG52:BG53"/>
    <mergeCell ref="BG55:BG56"/>
    <mergeCell ref="AQ41:AQ42"/>
    <mergeCell ref="BG43:BG44"/>
    <mergeCell ref="AQ44:AQ45"/>
    <mergeCell ref="BG46:BG47"/>
    <mergeCell ref="AQ47:AQ48"/>
    <mergeCell ref="BG37:BG38"/>
    <mergeCell ref="AQ38:AQ39"/>
    <mergeCell ref="BG34:BG35"/>
    <mergeCell ref="AQ35:AQ36"/>
    <mergeCell ref="BG31:BG32"/>
    <mergeCell ref="AQ32:AQ33"/>
    <mergeCell ref="K35:M35"/>
    <mergeCell ref="K34:M34"/>
    <mergeCell ref="K33:M33"/>
    <mergeCell ref="BG28:BG29"/>
    <mergeCell ref="AQ29:AQ30"/>
    <mergeCell ref="K32:M32"/>
    <mergeCell ref="K30:M30"/>
    <mergeCell ref="K31:M31"/>
    <mergeCell ref="K29:M29"/>
    <mergeCell ref="BG25:BG26"/>
    <mergeCell ref="AQ26:AQ27"/>
    <mergeCell ref="K28:M28"/>
    <mergeCell ref="K27:M27"/>
    <mergeCell ref="K26:M26"/>
    <mergeCell ref="R25:S25"/>
    <mergeCell ref="U25:W25"/>
    <mergeCell ref="Y25:AA2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croll Bar 4">
              <controlPr defaultSize="0" autoPict="0">
                <anchor moveWithCells="1">
                  <from>
                    <xdr:col>8</xdr:col>
                    <xdr:colOff>800100</xdr:colOff>
                    <xdr:row>0</xdr:row>
                    <xdr:rowOff>104775</xdr:rowOff>
                  </from>
                  <to>
                    <xdr:col>8</xdr:col>
                    <xdr:colOff>2524125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1A3E-B68E-4E80-8B7F-C25E243D09D8}">
  <sheetPr codeName="Hoja2"/>
  <dimension ref="A1:AC57"/>
  <sheetViews>
    <sheetView showGridLines="0" zoomScale="80" zoomScaleNormal="80" workbookViewId="0">
      <selection activeCell="AF19" sqref="AF19"/>
    </sheetView>
  </sheetViews>
  <sheetFormatPr baseColWidth="10" defaultColWidth="10.28515625" defaultRowHeight="15" x14ac:dyDescent="0.25"/>
  <cols>
    <col min="1" max="1" width="17.7109375" style="3" bestFit="1" customWidth="1"/>
    <col min="2" max="3" width="10.42578125" style="3" bestFit="1" customWidth="1"/>
    <col min="4" max="4" width="12" style="3" customWidth="1"/>
    <col min="5" max="6" width="10.42578125" style="3" bestFit="1" customWidth="1"/>
    <col min="7" max="7" width="11.7109375" style="3" customWidth="1"/>
    <col min="8" max="9" width="10.42578125" style="3" bestFit="1" customWidth="1"/>
    <col min="10" max="10" width="10.28515625" style="3"/>
    <col min="11" max="11" width="10.42578125" style="3" bestFit="1" customWidth="1"/>
    <col min="12" max="12" width="12.5703125" style="3" customWidth="1"/>
    <col min="13" max="13" width="10.42578125" style="3" bestFit="1" customWidth="1"/>
    <col min="14" max="14" width="10.28515625" style="3"/>
    <col min="15" max="20" width="10.42578125" style="3" bestFit="1" customWidth="1"/>
    <col min="21" max="21" width="13.5703125" style="3" bestFit="1" customWidth="1"/>
    <col min="22" max="24" width="10.42578125" style="3" bestFit="1" customWidth="1"/>
    <col min="25" max="25" width="10.28515625" style="3"/>
    <col min="26" max="28" width="10.42578125" style="3" bestFit="1" customWidth="1"/>
    <col min="29" max="29" width="12.42578125" style="3" bestFit="1" customWidth="1"/>
    <col min="30" max="16384" width="10.28515625" style="3"/>
  </cols>
  <sheetData>
    <row r="1" spans="1:29" x14ac:dyDescent="0.25">
      <c r="B1" s="3" t="s">
        <v>15</v>
      </c>
      <c r="C1" s="3" t="s">
        <v>78</v>
      </c>
    </row>
    <row r="2" spans="1:29" ht="13.9" x14ac:dyDescent="0.25">
      <c r="A2" s="3" t="s">
        <v>33</v>
      </c>
      <c r="B2" s="3">
        <f>Fe!L2</f>
        <v>527</v>
      </c>
      <c r="C2" s="3">
        <f>B2+273</f>
        <v>800</v>
      </c>
      <c r="F2" s="68"/>
      <c r="G2" s="68"/>
    </row>
    <row r="3" spans="1:29" ht="13.9" x14ac:dyDescent="0.25">
      <c r="A3" s="3" t="s">
        <v>34</v>
      </c>
      <c r="B3" s="3">
        <v>25</v>
      </c>
      <c r="C3" s="3">
        <f>B3+273</f>
        <v>298</v>
      </c>
    </row>
    <row r="5" spans="1:29" ht="13.9" x14ac:dyDescent="0.25">
      <c r="C5" s="89" t="s">
        <v>66</v>
      </c>
    </row>
    <row r="6" spans="1:29" ht="13.9" x14ac:dyDescent="0.25">
      <c r="C6" s="90"/>
      <c r="D6" s="86" t="s">
        <v>10</v>
      </c>
      <c r="E6" s="87" t="s">
        <v>9</v>
      </c>
      <c r="F6" s="87" t="s">
        <v>8</v>
      </c>
      <c r="G6" s="88" t="s">
        <v>7</v>
      </c>
    </row>
    <row r="7" spans="1:29" ht="13.9" x14ac:dyDescent="0.25">
      <c r="C7" s="91" t="s">
        <v>13</v>
      </c>
      <c r="D7" s="92">
        <v>0</v>
      </c>
      <c r="E7" s="93">
        <v>1</v>
      </c>
      <c r="F7" s="93">
        <v>-2</v>
      </c>
      <c r="G7" s="94">
        <v>2</v>
      </c>
    </row>
    <row r="8" spans="1:29" x14ac:dyDescent="0.25">
      <c r="C8" s="95" t="s">
        <v>14</v>
      </c>
      <c r="D8" s="96">
        <f>10^0</f>
        <v>1</v>
      </c>
      <c r="E8" s="97">
        <f>10^-3</f>
        <v>1E-3</v>
      </c>
      <c r="F8" s="97">
        <f>10^5</f>
        <v>100000</v>
      </c>
      <c r="G8" s="98">
        <f>10^-6</f>
        <v>9.9999999999999995E-7</v>
      </c>
    </row>
    <row r="10" spans="1:29" ht="13.9" x14ac:dyDescent="0.25"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</row>
    <row r="11" spans="1:29" x14ac:dyDescent="0.25">
      <c r="A11" s="99"/>
      <c r="B11" s="3" t="s">
        <v>67</v>
      </c>
      <c r="C11" s="99"/>
      <c r="D11" s="100"/>
      <c r="E11" s="100"/>
      <c r="F11" s="100"/>
      <c r="G11" s="100"/>
      <c r="H11" s="99"/>
      <c r="I11" s="99"/>
      <c r="J11" s="99"/>
      <c r="K11" s="3" t="s">
        <v>83</v>
      </c>
      <c r="L11" s="99"/>
      <c r="M11" s="99"/>
      <c r="N11" s="99"/>
      <c r="O11" s="154" t="s">
        <v>84</v>
      </c>
      <c r="P11" s="99"/>
      <c r="Z11" s="3" t="s">
        <v>85</v>
      </c>
    </row>
    <row r="12" spans="1:29" ht="32.25" x14ac:dyDescent="0.25">
      <c r="A12" s="99" t="s">
        <v>0</v>
      </c>
      <c r="B12" s="86" t="s">
        <v>57</v>
      </c>
      <c r="C12" s="87" t="s">
        <v>58</v>
      </c>
      <c r="D12" s="87" t="s">
        <v>59</v>
      </c>
      <c r="E12" s="87" t="s">
        <v>60</v>
      </c>
      <c r="F12" s="87" t="s">
        <v>61</v>
      </c>
      <c r="G12" s="87" t="s">
        <v>62</v>
      </c>
      <c r="H12" s="87" t="s">
        <v>68</v>
      </c>
      <c r="I12" s="88" t="s">
        <v>69</v>
      </c>
      <c r="J12" s="85"/>
      <c r="K12" s="86" t="s">
        <v>63</v>
      </c>
      <c r="L12" s="87" t="s">
        <v>64</v>
      </c>
      <c r="M12" s="88" t="s">
        <v>65</v>
      </c>
      <c r="N12" s="89"/>
      <c r="O12" s="86" t="s">
        <v>68</v>
      </c>
      <c r="P12" s="87" t="s">
        <v>69</v>
      </c>
      <c r="Q12" s="87" t="s">
        <v>57</v>
      </c>
      <c r="R12" s="87" t="s">
        <v>58</v>
      </c>
      <c r="S12" s="87" t="s">
        <v>59</v>
      </c>
      <c r="T12" s="87" t="s">
        <v>60</v>
      </c>
      <c r="U12" s="87" t="s">
        <v>61</v>
      </c>
      <c r="V12" s="87" t="s">
        <v>62</v>
      </c>
      <c r="W12" s="87" t="s">
        <v>70</v>
      </c>
      <c r="X12" s="88" t="s">
        <v>71</v>
      </c>
      <c r="Y12" s="89"/>
      <c r="Z12" s="151" t="s">
        <v>79</v>
      </c>
      <c r="AA12" s="152" t="s">
        <v>80</v>
      </c>
      <c r="AB12" s="152" t="s">
        <v>81</v>
      </c>
      <c r="AC12" s="153" t="s">
        <v>82</v>
      </c>
    </row>
    <row r="13" spans="1:29" ht="13.9" x14ac:dyDescent="0.25">
      <c r="A13" s="101" t="s">
        <v>11</v>
      </c>
      <c r="B13" s="102">
        <v>0</v>
      </c>
      <c r="C13" s="103">
        <v>6.52</v>
      </c>
      <c r="D13" s="103">
        <v>7.6180000000000003</v>
      </c>
      <c r="E13" s="103">
        <v>-5.3380000000000001</v>
      </c>
      <c r="F13" s="103">
        <v>-0.84099999999999997</v>
      </c>
      <c r="G13" s="103">
        <v>9.5779999999999994</v>
      </c>
      <c r="H13" s="103">
        <v>298.14999999999998</v>
      </c>
      <c r="I13" s="104">
        <v>800</v>
      </c>
      <c r="J13" s="105"/>
      <c r="K13" s="106">
        <f t="shared" ref="K13:K18" si="0">D13*(I13-H13)+E13*$E$8/2*(I13^2-H13^2)-F13*$F$8*(I13^(-1)-H13^(-1))+G13*$G$8/3*(I13^3-H13^3)</f>
        <v>3725.2703188324685</v>
      </c>
      <c r="L13" s="107">
        <f t="shared" ref="L13:L18" si="1">K13/1000</f>
        <v>3.7252703188324685</v>
      </c>
      <c r="M13" s="108">
        <f t="shared" ref="M13:M18" si="2">D13*(LN(I13)-LN(H13))+E13*$E$8*(I13-H13)-F13*$F$8/2*(I13^(-2)-H13^(-2))+G13*$G$8/2*(I13^2-H13^2)</f>
        <v>7.0721192132515469</v>
      </c>
      <c r="N13" s="68"/>
      <c r="O13" s="109">
        <f>LOOKUP($C$2,$H13:$I16,H13:H16)</f>
        <v>800</v>
      </c>
      <c r="P13" s="110">
        <f>TE</f>
        <v>800</v>
      </c>
      <c r="Q13" s="57">
        <f>LOOKUP($C$2,$H13:$I18,B13:B18)</f>
        <v>0</v>
      </c>
      <c r="R13" s="57">
        <f>LOOKUP($C$2,$H13:$I18,C13:C18)</f>
        <v>0</v>
      </c>
      <c r="S13" s="57">
        <f>LOOKUP($C$2,$H13:$I18,D13:D18)*D8</f>
        <v>222.42400000000001</v>
      </c>
      <c r="T13" s="57">
        <f>LOOKUP($C$2,$H13:$I18,E13:E18)*E8</f>
        <v>-0.345441</v>
      </c>
      <c r="U13" s="111">
        <f>LOOKUP($C$2,$H13:$I18,F13:F18)*F8</f>
        <v>-25754899.999999996</v>
      </c>
      <c r="V13" s="57">
        <f>LOOKUP($C$2,$H13:$I18,G13:G18)*G8</f>
        <v>1.61741E-4</v>
      </c>
      <c r="W13" s="110">
        <f>S13*(P13-O13)+T13/2*(P13^2-O13^2)-U13*(P13^(-1)-O13^(-1))+V13/3*(P13^3-O13^3)</f>
        <v>0</v>
      </c>
      <c r="X13" s="112">
        <f>S13*(LN(P13)-LN(O13))+T13*(P13-O13)-U13/2*(P13^(-2)-O13^(-2))+V13/2*(P13^2-O13^2)</f>
        <v>0</v>
      </c>
      <c r="Y13" s="113" t="str">
        <f>A12</f>
        <v>Fe</v>
      </c>
      <c r="Z13" s="114">
        <f>S13+T13*TE^$E$7+U13*TE^$F$7+V13*TE^$G$7</f>
        <v>9.3434087500000089</v>
      </c>
      <c r="AA13" s="115" cm="1">
        <f t="array" ref="AA13">_xlfn.IFS(TE&lt;=I13,W13/1000+B13,TE&lt;=I14,W13/1000+B13+B14+L13,TE&lt;=I15,W13/1000+B13+B14+B15+L13+L14,TE&lt;=I16,W13/1000+B13+B14+B15+B16+L13+L14+L15,TE&lt;=I17,W13/1000+B13+B14+B15+B16+B17+L13+L14+L15+L16,TE&lt;=I18,W13/1000+B13+B14+B15+B16+B17+B18+L13+L14+L15+L17)</f>
        <v>0</v>
      </c>
      <c r="AB13" s="115" cm="1">
        <f t="array" ref="AB13">_xlfn.IFS(TE&lt;=I13,(C13+X13)/1000,TE&lt;=I14,(C13+X13+M13+C14)/1000,TE&lt;=I15,(C13+X13+M13+M14+C14+C15)/1000,TE&lt;=I16,(C13+X13+M13+M14+M15+C14+C15+C16)/1000,TE&lt;=I17,(C13+X13+M13+M14+M15+M16+C14+C15+C16+C17)/1000,TE&lt;=I18,(C13+C14+C15+C16+C17+C18+M13+M14+M15+M16+M17+X13)/1000)</f>
        <v>6.5199999999999998E-3</v>
      </c>
      <c r="AC13" s="116">
        <f>AA13-TE*AB13</f>
        <v>-5.2160000000000002</v>
      </c>
    </row>
    <row r="14" spans="1:29" ht="13.9" x14ac:dyDescent="0.25">
      <c r="A14" s="101" t="s">
        <v>11</v>
      </c>
      <c r="B14" s="117">
        <v>0</v>
      </c>
      <c r="C14" s="105">
        <v>0</v>
      </c>
      <c r="D14" s="105">
        <v>222.42400000000001</v>
      </c>
      <c r="E14" s="105">
        <v>-345.44099999999997</v>
      </c>
      <c r="F14" s="105">
        <v>-257.54899999999998</v>
      </c>
      <c r="G14" s="105">
        <v>161.74100000000001</v>
      </c>
      <c r="H14" s="105">
        <v>800</v>
      </c>
      <c r="I14" s="118">
        <v>1042.4000000000001</v>
      </c>
      <c r="J14" s="105"/>
      <c r="K14" s="119">
        <f t="shared" si="0"/>
        <v>2755.2430516710992</v>
      </c>
      <c r="L14" s="83">
        <f t="shared" si="1"/>
        <v>2.7552430516710991</v>
      </c>
      <c r="M14" s="53">
        <f t="shared" si="2"/>
        <v>2.9806397003743257</v>
      </c>
      <c r="N14" s="68"/>
      <c r="O14" s="120"/>
      <c r="P14" s="120"/>
      <c r="Q14" s="83"/>
      <c r="R14" s="83"/>
      <c r="S14" s="83"/>
      <c r="T14" s="83"/>
      <c r="U14" s="121"/>
      <c r="V14" s="83"/>
      <c r="W14" s="120"/>
      <c r="X14" s="120"/>
      <c r="Y14" s="68"/>
      <c r="Z14" s="122"/>
      <c r="AA14" s="122"/>
      <c r="AB14" s="122"/>
      <c r="AC14" s="122"/>
    </row>
    <row r="15" spans="1:29" ht="13.9" x14ac:dyDescent="0.25">
      <c r="A15" s="101" t="s">
        <v>11</v>
      </c>
      <c r="B15" s="117">
        <v>0</v>
      </c>
      <c r="C15" s="105">
        <v>0</v>
      </c>
      <c r="D15" s="105">
        <v>-3219.3290000000002</v>
      </c>
      <c r="E15" s="105">
        <v>3790.011</v>
      </c>
      <c r="F15" s="105">
        <v>6981.21</v>
      </c>
      <c r="G15" s="105">
        <v>-1252.723</v>
      </c>
      <c r="H15" s="105">
        <v>1042.5</v>
      </c>
      <c r="I15" s="118">
        <v>1184.8</v>
      </c>
      <c r="J15" s="105"/>
      <c r="K15" s="119">
        <f t="shared" si="0"/>
        <v>1546.092970864207</v>
      </c>
      <c r="L15" s="83">
        <f t="shared" si="1"/>
        <v>1.5460929708642071</v>
      </c>
      <c r="M15" s="53">
        <f t="shared" si="2"/>
        <v>1.3933513857391233</v>
      </c>
      <c r="N15" s="68"/>
      <c r="O15" s="120"/>
      <c r="P15" s="120"/>
      <c r="Q15" s="83"/>
      <c r="R15" s="83"/>
      <c r="S15" s="83"/>
      <c r="T15" s="83"/>
      <c r="U15" s="121"/>
      <c r="V15" s="83"/>
      <c r="W15" s="120"/>
      <c r="X15" s="120"/>
      <c r="Y15" s="68"/>
      <c r="Z15" s="122"/>
      <c r="AA15" s="122"/>
      <c r="AB15" s="122"/>
      <c r="AC15" s="122"/>
    </row>
    <row r="16" spans="1:29" ht="13.9" x14ac:dyDescent="0.25">
      <c r="A16" s="101" t="s">
        <v>11</v>
      </c>
      <c r="B16" s="117">
        <v>0.24199999999999999</v>
      </c>
      <c r="C16" s="105">
        <v>0.20399999999999999</v>
      </c>
      <c r="D16" s="105">
        <v>5.907</v>
      </c>
      <c r="E16" s="105">
        <v>1.784</v>
      </c>
      <c r="F16" s="105">
        <v>-0.40600000000000003</v>
      </c>
      <c r="G16" s="105">
        <v>8.7999999999999995E-2</v>
      </c>
      <c r="H16" s="105">
        <v>1184.8</v>
      </c>
      <c r="I16" s="118">
        <v>1667.499</v>
      </c>
      <c r="J16" s="105"/>
      <c r="K16" s="119">
        <f t="shared" si="0"/>
        <v>4156.7105984970749</v>
      </c>
      <c r="L16" s="83">
        <f t="shared" si="1"/>
        <v>4.1567105984970745</v>
      </c>
      <c r="M16" s="53">
        <f t="shared" si="2"/>
        <v>2.9332764066851609</v>
      </c>
      <c r="N16" s="68"/>
      <c r="O16" s="120"/>
      <c r="P16" s="120"/>
      <c r="Q16" s="83"/>
      <c r="R16" s="83"/>
      <c r="S16" s="83"/>
      <c r="T16" s="83"/>
      <c r="U16" s="121"/>
      <c r="V16" s="83"/>
      <c r="W16" s="120"/>
      <c r="X16" s="120"/>
      <c r="Y16" s="68"/>
      <c r="Z16" s="122"/>
      <c r="AA16" s="122"/>
      <c r="AB16" s="122"/>
      <c r="AC16" s="122"/>
    </row>
    <row r="17" spans="1:29" ht="13.9" x14ac:dyDescent="0.25">
      <c r="A17" s="101" t="s">
        <v>11</v>
      </c>
      <c r="B17" s="119">
        <v>0.20399999999999999</v>
      </c>
      <c r="C17" s="83">
        <v>0.11799999999999999</v>
      </c>
      <c r="D17" s="83">
        <v>-2.5419999999999998</v>
      </c>
      <c r="E17" s="83">
        <v>7.3940000000000001</v>
      </c>
      <c r="F17" s="83">
        <v>65.766000000000005</v>
      </c>
      <c r="G17" s="83">
        <v>-0.90600000000000003</v>
      </c>
      <c r="H17" s="83">
        <v>1667.5</v>
      </c>
      <c r="I17" s="53">
        <v>1811</v>
      </c>
      <c r="J17" s="83"/>
      <c r="K17" s="119">
        <f t="shared" si="0"/>
        <v>1399.6436135631175</v>
      </c>
      <c r="L17" s="83">
        <f t="shared" si="1"/>
        <v>1.3996436135631174</v>
      </c>
      <c r="M17" s="53">
        <f t="shared" si="2"/>
        <v>0.80505524142091167</v>
      </c>
      <c r="N17" s="68"/>
      <c r="O17" s="120"/>
      <c r="P17" s="120"/>
      <c r="Q17" s="83"/>
      <c r="R17" s="83"/>
      <c r="S17" s="83"/>
      <c r="T17" s="83"/>
      <c r="U17" s="121"/>
      <c r="V17" s="83"/>
      <c r="W17" s="120"/>
      <c r="X17" s="120"/>
      <c r="Y17" s="68"/>
      <c r="Z17" s="122"/>
      <c r="AA17" s="122"/>
      <c r="AB17" s="122"/>
      <c r="AC17" s="122"/>
    </row>
    <row r="18" spans="1:29" ht="13.9" x14ac:dyDescent="0.25">
      <c r="A18" s="101" t="s">
        <v>11</v>
      </c>
      <c r="B18" s="123">
        <v>3.3</v>
      </c>
      <c r="C18" s="57">
        <v>1.8220000000000001</v>
      </c>
      <c r="D18" s="57">
        <v>10.994</v>
      </c>
      <c r="E18" s="57">
        <v>0</v>
      </c>
      <c r="F18" s="57">
        <v>0</v>
      </c>
      <c r="G18" s="57">
        <v>0</v>
      </c>
      <c r="H18" s="57">
        <v>1811</v>
      </c>
      <c r="I18" s="58">
        <v>3158</v>
      </c>
      <c r="J18" s="83"/>
      <c r="K18" s="123">
        <f t="shared" si="0"/>
        <v>14808.918</v>
      </c>
      <c r="L18" s="57">
        <f t="shared" si="1"/>
        <v>14.808918</v>
      </c>
      <c r="M18" s="58">
        <f t="shared" si="2"/>
        <v>6.1133207478323239</v>
      </c>
      <c r="N18" s="68"/>
      <c r="O18" s="120"/>
      <c r="P18" s="120"/>
      <c r="Q18" s="83"/>
      <c r="R18" s="83"/>
      <c r="S18" s="83"/>
      <c r="T18" s="83"/>
      <c r="U18" s="121"/>
      <c r="V18" s="83"/>
      <c r="W18" s="120"/>
      <c r="X18" s="120"/>
      <c r="Y18" s="68"/>
      <c r="Z18" s="122"/>
      <c r="AA18" s="122"/>
      <c r="AB18" s="122"/>
      <c r="AC18" s="122"/>
    </row>
    <row r="19" spans="1:29" x14ac:dyDescent="0.25">
      <c r="A19" s="124" t="s">
        <v>18</v>
      </c>
      <c r="B19" s="83"/>
      <c r="C19" s="83"/>
      <c r="D19" s="83"/>
      <c r="E19" s="83"/>
      <c r="F19" s="83"/>
      <c r="G19" s="83"/>
      <c r="H19" s="83"/>
      <c r="I19" s="83"/>
      <c r="J19" s="83"/>
      <c r="K19" s="105"/>
      <c r="L19" s="83"/>
      <c r="M19" s="83"/>
      <c r="N19" s="68"/>
      <c r="O19" s="120"/>
      <c r="P19" s="120"/>
      <c r="Q19" s="83"/>
      <c r="R19" s="83"/>
      <c r="S19" s="83"/>
      <c r="T19" s="83"/>
      <c r="U19" s="121"/>
      <c r="V19" s="83"/>
      <c r="W19" s="120"/>
      <c r="X19" s="120"/>
      <c r="Y19" s="68"/>
      <c r="Z19" s="122"/>
      <c r="AA19" s="122"/>
      <c r="AB19" s="122"/>
      <c r="AC19" s="122"/>
    </row>
    <row r="20" spans="1:29" ht="13.9" x14ac:dyDescent="0.25">
      <c r="A20" s="125" t="s">
        <v>11</v>
      </c>
      <c r="B20" s="126">
        <v>-266.61099999999999</v>
      </c>
      <c r="C20" s="127">
        <v>34.93</v>
      </c>
      <c r="D20" s="127">
        <v>113.57899999999999</v>
      </c>
      <c r="E20" s="127">
        <v>-208.81100000000001</v>
      </c>
      <c r="F20" s="127">
        <v>-28.805</v>
      </c>
      <c r="G20" s="127">
        <v>191.37899999999999</v>
      </c>
      <c r="H20" s="127">
        <v>298.14999999999998</v>
      </c>
      <c r="I20" s="128">
        <v>849.99900000000002</v>
      </c>
      <c r="J20" s="129"/>
      <c r="K20" s="130">
        <f>D20*(I20-H20)+E20*$E$8/2*(I20^2-H20^2)-F20*$F$8*(I20^(-1)-H20^(-1))+G20*$G$8/3*(I20^3-H20^3)</f>
        <v>27740.20207209999</v>
      </c>
      <c r="L20" s="131">
        <f>K20/1000</f>
        <v>27.74020207209999</v>
      </c>
      <c r="M20" s="132">
        <f>D20*(LN(I20)-LN(H20))+E20*$E$8*(I20-H20)-F20*$F$8/2*(I20^(-2)-H20^(-2))+G20*$G$8/2*(I20^2-H20^2)</f>
        <v>50.178364892542817</v>
      </c>
      <c r="N20" s="68"/>
      <c r="O20" s="114">
        <f>LOOKUP($C$2,$H20:$I22,H20:H22)</f>
        <v>298.14999999999998</v>
      </c>
      <c r="P20" s="115">
        <f>TE</f>
        <v>800</v>
      </c>
      <c r="Q20" s="133">
        <f>LOOKUP($C$2,$H20:$I22,B20:B22)</f>
        <v>-266.61099999999999</v>
      </c>
      <c r="R20" s="133">
        <f>LOOKUP($C$2,$H20:$I22,C20:C22)</f>
        <v>34.93</v>
      </c>
      <c r="S20" s="133">
        <f>LOOKUP($C$2,$H20:$I22,D20:D22)*D8</f>
        <v>113.57899999999999</v>
      </c>
      <c r="T20" s="133">
        <f>LOOKUP($C$2,$H20:$I22,E20:E22)*E8</f>
        <v>-0.20881100000000002</v>
      </c>
      <c r="U20" s="134">
        <f>LOOKUP($C$2,$H20:$I22,F20:F22)*F8</f>
        <v>-2880500</v>
      </c>
      <c r="V20" s="133">
        <f>LOOKUP($C$2,$H20:$I22,G20:G22)*G8</f>
        <v>1.9137899999999998E-4</v>
      </c>
      <c r="W20" s="115">
        <f>S20*(P20-O20)+T20/2*(P20^2-O20^2)-U20*(P20^(-1)-O20^(-1))+V20/3*(P20^3-O20^3)</f>
        <v>24371.717541751575</v>
      </c>
      <c r="X20" s="135">
        <f>S20*(LN(P20)-LN(O20))+T20*(P20-O20)-U20/2*(P20^(-2)-O20^(-2))+V20/2*(P20^2-O20^2)</f>
        <v>46.095895033781964</v>
      </c>
      <c r="Y20" s="68" t="str">
        <f>A19</f>
        <v>Fe₃O₄</v>
      </c>
      <c r="Z20" s="114">
        <f>S20+T20*TE^$E$7+U20*TE^$F$7+V20*TE^$G$7</f>
        <v>64.511978749999955</v>
      </c>
      <c r="AA20" s="115" cm="1">
        <f t="array" ref="AA20">_xlfn.IFS(TE&lt;=I20,W20/1000+B20,TE&lt;=I21,W20/1000+B20+B21+L20,TE&lt;=I22,W20/1000+B20+B21+B22+L20+L21)</f>
        <v>-242.23928245824843</v>
      </c>
      <c r="AB20" s="115" cm="1">
        <f t="array" ref="AB20">_xlfn.IFS(TE&lt;=I20,(C20+X20)/1000,TE&lt;=I21,(C20+X20+M20+C21)/1000,TE&lt;=I22,(C20+X20+M20+M21+C21+C22)/1000)</f>
        <v>8.1025895033781964E-2</v>
      </c>
      <c r="AC20" s="116">
        <f>AA20-TE*AB20</f>
        <v>-307.05999848527398</v>
      </c>
    </row>
    <row r="21" spans="1:29" ht="13.9" x14ac:dyDescent="0.25">
      <c r="A21" s="3" t="s">
        <v>11</v>
      </c>
      <c r="B21" s="136">
        <v>0</v>
      </c>
      <c r="C21" s="129">
        <v>0</v>
      </c>
      <c r="D21" s="129">
        <v>11.909000000000001</v>
      </c>
      <c r="E21" s="129">
        <v>17.335999999999999</v>
      </c>
      <c r="F21" s="129">
        <v>204.47800000000001</v>
      </c>
      <c r="G21" s="129">
        <v>0</v>
      </c>
      <c r="H21" s="129">
        <v>850</v>
      </c>
      <c r="I21" s="137">
        <v>1870</v>
      </c>
      <c r="J21" s="129"/>
      <c r="K21" s="119">
        <f>D21*(I21-H21)+E21*$E$8/2*(I21^2-H21^2)-F21*$F$8*(I21^(-1)-H21^(-1))+G21*$G$8/3*(I21^3-H21^3)</f>
        <v>49317.262087700532</v>
      </c>
      <c r="L21" s="83">
        <f t="shared" ref="L21:L22" si="3">K21/1000</f>
        <v>49.317262087700534</v>
      </c>
      <c r="M21" s="53">
        <f>D21*(LN(I21)-LN(H21))+E21*$E$8*(I21-H21)-F21*$F$8/2*(I21^(-2)-H21^(-2))+G21*$G$8/2*(I21^2-H21^2)</f>
        <v>38.299481496193522</v>
      </c>
      <c r="N21" s="68"/>
      <c r="O21" s="120"/>
      <c r="P21" s="120"/>
      <c r="Q21" s="68"/>
      <c r="R21" s="68"/>
      <c r="S21" s="68"/>
      <c r="T21" s="68"/>
      <c r="U21" s="138"/>
      <c r="V21" s="68"/>
      <c r="W21" s="120"/>
      <c r="X21" s="120"/>
      <c r="Y21" s="68"/>
      <c r="Z21" s="122"/>
      <c r="AA21" s="122"/>
      <c r="AB21" s="122"/>
      <c r="AC21" s="122"/>
    </row>
    <row r="22" spans="1:29" ht="13.9" x14ac:dyDescent="0.25">
      <c r="A22" s="3" t="s">
        <v>12</v>
      </c>
      <c r="B22" s="139">
        <v>33</v>
      </c>
      <c r="C22" s="140">
        <v>17.646999999999998</v>
      </c>
      <c r="D22" s="140">
        <v>51</v>
      </c>
      <c r="E22" s="140">
        <v>0</v>
      </c>
      <c r="F22" s="140">
        <v>0</v>
      </c>
      <c r="G22" s="140">
        <v>0</v>
      </c>
      <c r="H22" s="140">
        <v>1870</v>
      </c>
      <c r="I22" s="141">
        <v>2000</v>
      </c>
      <c r="J22" s="129"/>
      <c r="K22" s="123">
        <f>D22*(I22-H22)+E22*$E$8/2*(I22^2-H22^2)-F22*$F$8*(I22^(-1)-H22^(-1))+G22*$G$8/3*(I22^3-H22^3)</f>
        <v>6630</v>
      </c>
      <c r="L22" s="57">
        <f t="shared" si="3"/>
        <v>6.63</v>
      </c>
      <c r="M22" s="58">
        <f>D22*(LN(I22)-LN(H22))+E22*$E$8*(I22-H22)-F22*$F$8/2*(I22^(-2)-H22^(-2))+G22*$G$8/2*(I22^2-H22^2)</f>
        <v>3.4276462343659233</v>
      </c>
      <c r="N22" s="68"/>
      <c r="O22" s="120"/>
      <c r="P22" s="120"/>
      <c r="Q22" s="83"/>
      <c r="R22" s="83"/>
      <c r="S22" s="83"/>
      <c r="T22" s="83"/>
      <c r="U22" s="121"/>
      <c r="V22" s="83"/>
      <c r="W22" s="120"/>
      <c r="X22" s="120"/>
      <c r="Y22" s="68"/>
      <c r="Z22" s="122"/>
      <c r="AA22" s="122"/>
      <c r="AB22" s="122"/>
      <c r="AC22" s="122"/>
    </row>
    <row r="23" spans="1:29" x14ac:dyDescent="0.25">
      <c r="A23" s="124" t="s">
        <v>19</v>
      </c>
      <c r="B23" s="142"/>
      <c r="C23" s="142"/>
      <c r="D23" s="142"/>
      <c r="E23" s="142"/>
      <c r="F23" s="142"/>
      <c r="G23" s="142"/>
      <c r="H23" s="142"/>
      <c r="I23" s="142"/>
      <c r="J23" s="142"/>
      <c r="K23" s="83"/>
      <c r="L23" s="83"/>
      <c r="M23" s="83"/>
      <c r="N23" s="68"/>
      <c r="O23" s="120"/>
      <c r="P23" s="120"/>
      <c r="Q23" s="83"/>
      <c r="R23" s="83"/>
      <c r="S23" s="83"/>
      <c r="T23" s="83"/>
      <c r="U23" s="121"/>
      <c r="V23" s="83"/>
      <c r="W23" s="120"/>
      <c r="X23" s="120"/>
      <c r="Y23" s="68"/>
      <c r="Z23" s="122"/>
      <c r="AA23" s="122"/>
      <c r="AB23" s="122"/>
      <c r="AC23" s="122"/>
    </row>
    <row r="24" spans="1:29" ht="13.9" x14ac:dyDescent="0.25">
      <c r="A24" s="125" t="s">
        <v>11</v>
      </c>
      <c r="B24" s="126">
        <v>-196.702</v>
      </c>
      <c r="C24" s="127">
        <v>20.888999999999999</v>
      </c>
      <c r="D24" s="127">
        <v>34.313000000000002</v>
      </c>
      <c r="E24" s="127">
        <v>-8.6809999999999992</v>
      </c>
      <c r="F24" s="127">
        <v>-7.5129999999999999</v>
      </c>
      <c r="G24" s="127">
        <v>17.158999999999999</v>
      </c>
      <c r="H24" s="127">
        <v>298.14999999999998</v>
      </c>
      <c r="I24" s="128">
        <v>700</v>
      </c>
      <c r="J24" s="129"/>
      <c r="K24" s="106">
        <f>D24*(I24-H24)+E24*$E$8/2*(I24^2-H24^2)-F24*$F$8*(I24^(-1)-H24^(-1))+G24*$G$8/3*(I24^3-H24^3)</f>
        <v>12411.343175649685</v>
      </c>
      <c r="L24" s="107">
        <f>K24/1000</f>
        <v>12.411343175649685</v>
      </c>
      <c r="M24" s="108">
        <f>D24*(LN(I24)-LN(H24))+E24*$E$8*(I24-H24)-F24*$F$8/2*(I24^(-2)-H24^(-2))+G24*$G$8/2*(I24^2-H24^2)</f>
        <v>25.779203151144937</v>
      </c>
      <c r="N24" s="68"/>
      <c r="O24" s="114">
        <f>LOOKUP($C$2,$H24:$I28,H24:H28)</f>
        <v>700</v>
      </c>
      <c r="P24" s="115">
        <f>TE</f>
        <v>800</v>
      </c>
      <c r="Q24" s="133">
        <f>LOOKUP($C$2,$H24:$I28,B24:B28)</f>
        <v>0</v>
      </c>
      <c r="R24" s="133">
        <f>LOOKUP($C$2,$H24:$I28,C24:C28)</f>
        <v>0</v>
      </c>
      <c r="S24" s="133">
        <f>LOOKUP($C$2,$H24:$I28,D24:D28)*D8</f>
        <v>152.44</v>
      </c>
      <c r="T24" s="133">
        <f>LOOKUP($C$2,$H24:$I28,E24:E28)*E8</f>
        <v>-0.23028999999999999</v>
      </c>
      <c r="U24" s="134">
        <f>LOOKUP($C$2,$H24:$I28,F24:F28)*F8</f>
        <v>-10692700</v>
      </c>
      <c r="V24" s="133">
        <f>LOOKUP($C$2,$H24:$I28,G24:G28)*G8</f>
        <v>1.3407099999999998E-4</v>
      </c>
      <c r="W24" s="115">
        <f>S24*(P24-O24)+T24/2*(P24^2-O24^2)-U24*(P24^(-1)-O24^(-1))+V24/3*(P24^3-O24^3)</f>
        <v>3615.5056190476189</v>
      </c>
      <c r="X24" s="135">
        <f>S24*(LN(P24)-LN(O24))+T24*(P24-O24)-U24/2*(P24^(-2)-O24^(-2))+V24/2*(P24^2-O24^2)</f>
        <v>4.8246039993353076</v>
      </c>
      <c r="Y24" s="68" t="str">
        <f>A23</f>
        <v>Fe₂O₃</v>
      </c>
      <c r="Z24" s="114">
        <f>S24+T24*TE^E7+U24*TE^F7+V24*TE^G7</f>
        <v>37.306096249999989</v>
      </c>
      <c r="AA24" s="115" cm="1">
        <f t="array" ref="AA24">_xlfn.IFS(TE&lt;=I24,W24/1000+B24,TE&lt;=I25,W24/1000+B24+B25+L24,TE&lt;=I26,W24/1000+B24+B25+B26+L24+L25,TE&lt;=I27,W24/1000+B24+B25+B26+B27+L24+L25+L26,TE&lt;=I28,W24/1000+B24+B25+B26+B27+B28+L24+L25+L26+L27)</f>
        <v>-180.67515120530271</v>
      </c>
      <c r="AB24" s="115" cm="1">
        <f t="array" ref="AB24">_xlfn.IFS(TE&lt;=I24,(C24+X24)/1000,TE&lt;=I25,(C24+X24+M24+C25)/1000,TE&lt;=I26,(C24+X24+M24+M25+C25+C26)/1000,TE&lt;=I27,(C24+C25+C26+C27+M24+M25+M26+X24)/1000,TE&lt;=I28,(C24+C25+C26+C27+C28+M24+M25+M26+M27+X24)/1000)</f>
        <v>5.1492807150480248E-2</v>
      </c>
      <c r="AC24" s="116">
        <f>AA24-TE*AB24</f>
        <v>-221.86939692568691</v>
      </c>
    </row>
    <row r="25" spans="1:29" ht="13.9" x14ac:dyDescent="0.25">
      <c r="A25" s="125" t="s">
        <v>11</v>
      </c>
      <c r="B25" s="136">
        <v>0</v>
      </c>
      <c r="C25" s="129">
        <v>0</v>
      </c>
      <c r="D25" s="129">
        <v>152.44</v>
      </c>
      <c r="E25" s="129">
        <v>-230.29</v>
      </c>
      <c r="F25" s="129">
        <v>-106.92700000000001</v>
      </c>
      <c r="G25" s="129">
        <v>134.071</v>
      </c>
      <c r="H25" s="129">
        <v>700</v>
      </c>
      <c r="I25" s="137">
        <v>950</v>
      </c>
      <c r="J25" s="129"/>
      <c r="K25" s="119">
        <f>D25*(I25-H25)+E25*$E$8/2*(I25^2-H25^2)-F25*$F$8*(I25^(-1)-H25^(-1))+G25*$G$8/3*(I25^3-H25^3)</f>
        <v>9580.4656782581424</v>
      </c>
      <c r="L25" s="83">
        <f>K25/1000</f>
        <v>9.5804656782581432</v>
      </c>
      <c r="M25" s="53">
        <f>D25*(LN(I25)-LN(H25))+E25*$E$8*(I25-H25)-F25*$F$8/2*(I25^(-2)-H25^(-2))+G25*$G$8/2*(I25^2-H25^2)</f>
        <v>11.645037558240833</v>
      </c>
      <c r="N25" s="68"/>
      <c r="O25" s="122"/>
      <c r="P25" s="122"/>
      <c r="Q25" s="68"/>
      <c r="R25" s="68"/>
      <c r="S25" s="68"/>
      <c r="T25" s="68"/>
      <c r="U25" s="138"/>
      <c r="V25" s="68"/>
      <c r="W25" s="122"/>
      <c r="X25" s="122"/>
      <c r="Y25" s="68"/>
      <c r="Z25" s="122"/>
      <c r="AA25" s="122"/>
      <c r="AB25" s="122"/>
      <c r="AC25" s="122"/>
    </row>
    <row r="26" spans="1:29" ht="13.9" x14ac:dyDescent="0.25">
      <c r="A26" s="3" t="s">
        <v>11</v>
      </c>
      <c r="B26" s="119">
        <v>0</v>
      </c>
      <c r="C26" s="83">
        <v>0</v>
      </c>
      <c r="D26" s="83">
        <v>-52741.883000000002</v>
      </c>
      <c r="E26" s="83">
        <v>69336.656000000003</v>
      </c>
      <c r="F26" s="83">
        <v>90566.062999999995</v>
      </c>
      <c r="G26" s="83">
        <v>-25616.898000000001</v>
      </c>
      <c r="H26" s="83">
        <v>950</v>
      </c>
      <c r="I26" s="53">
        <v>1050</v>
      </c>
      <c r="J26" s="83"/>
      <c r="K26" s="119">
        <f>D26*(I26-H26)+E26*$E$8/2*(I26^2-H26^2)-F26*$F$8*(I26^(-1)-H26^(-1))+G26*$G$8/3*(I26^3-H26^3)</f>
        <v>3583.2146403510123</v>
      </c>
      <c r="L26" s="83">
        <f t="shared" ref="L26:L28" si="4">K26/1000</f>
        <v>3.5832146403510126</v>
      </c>
      <c r="M26" s="53">
        <f>D26*(LN(I26)-LN(H26))+E26*$E$8*(I26-H26)-F26*$F$8/2*(I26^(-2)-H26^(-2))+G26*$G$8/2*(I26^2-H26^2)</f>
        <v>3.5917096203120309</v>
      </c>
      <c r="N26" s="68"/>
      <c r="O26" s="122"/>
      <c r="P26" s="122"/>
      <c r="Q26" s="83"/>
      <c r="R26" s="83"/>
      <c r="S26" s="83"/>
      <c r="T26" s="83"/>
      <c r="U26" s="121"/>
      <c r="V26" s="83"/>
      <c r="W26" s="122"/>
      <c r="X26" s="122"/>
      <c r="Y26" s="68"/>
      <c r="Z26" s="122"/>
      <c r="AA26" s="122"/>
      <c r="AB26" s="122"/>
      <c r="AC26" s="122"/>
    </row>
    <row r="27" spans="1:29" ht="13.9" x14ac:dyDescent="0.25">
      <c r="A27" s="3" t="s">
        <v>11</v>
      </c>
      <c r="B27" s="119">
        <v>0</v>
      </c>
      <c r="C27" s="83">
        <v>0</v>
      </c>
      <c r="D27" s="83">
        <v>19.172000000000001</v>
      </c>
      <c r="E27" s="83">
        <v>13.378</v>
      </c>
      <c r="F27" s="83">
        <v>40.006</v>
      </c>
      <c r="G27" s="83">
        <v>-2.964</v>
      </c>
      <c r="H27" s="83">
        <v>1050</v>
      </c>
      <c r="I27" s="53">
        <v>1812</v>
      </c>
      <c r="J27" s="83"/>
      <c r="K27" s="119">
        <f>D27*(I27-H27)+E27*$E$8/2*(I27^2-H27^2)-F27*$F$8*(I27^(-1)-H27^(-1))+G27*$G$8/3*(I27^3-H27^3)</f>
        <v>26064.695313439624</v>
      </c>
      <c r="L27" s="83">
        <f t="shared" si="4"/>
        <v>26.064695313439625</v>
      </c>
      <c r="M27" s="53">
        <f>D27*(LN(I27)-LN(H27))+E27*$E$8*(I27-H27)-F27*$F$8/2*(I27^(-2)-H27^(-2))+G27*$G$8/2*(I27^2-H27^2)</f>
        <v>18.628159895625906</v>
      </c>
      <c r="N27" s="68"/>
      <c r="O27" s="122"/>
      <c r="P27" s="122"/>
      <c r="Q27" s="83"/>
      <c r="R27" s="83"/>
      <c r="S27" s="83"/>
      <c r="T27" s="83"/>
      <c r="U27" s="121"/>
      <c r="V27" s="83"/>
      <c r="W27" s="122"/>
      <c r="X27" s="122"/>
      <c r="Y27" s="68"/>
      <c r="Z27" s="122"/>
      <c r="AA27" s="122"/>
      <c r="AB27" s="122"/>
      <c r="AC27" s="122"/>
    </row>
    <row r="28" spans="1:29" ht="13.9" x14ac:dyDescent="0.25">
      <c r="A28" s="3" t="s">
        <v>11</v>
      </c>
      <c r="B28" s="123">
        <v>0</v>
      </c>
      <c r="C28" s="57">
        <v>0</v>
      </c>
      <c r="D28" s="57">
        <v>39.436</v>
      </c>
      <c r="E28" s="57">
        <v>0</v>
      </c>
      <c r="F28" s="57">
        <v>0</v>
      </c>
      <c r="G28" s="57">
        <v>0</v>
      </c>
      <c r="H28" s="57">
        <v>1812</v>
      </c>
      <c r="I28" s="58">
        <v>4000</v>
      </c>
      <c r="J28" s="83"/>
      <c r="K28" s="123">
        <f>D28*(I28-H28)+E28*$E$8/2*(I28^2-H28^2)-F28*$F$8*(I28^(-1)-H28^(-1))+G28*$G$8/3*(I28^3-H28^3)</f>
        <v>86285.967999999993</v>
      </c>
      <c r="L28" s="57">
        <f t="shared" si="4"/>
        <v>86.285967999999997</v>
      </c>
      <c r="M28" s="58">
        <f>D28*(LN(I28)-LN(H28))+E28*$E$8*(I28-H28)-F28*$F$8/2*(I28^(-2)-H28^(-2))+G28*$G$8/2*(I28^2-H28^2)</f>
        <v>31.227915321390643</v>
      </c>
      <c r="N28" s="68"/>
      <c r="O28" s="122"/>
      <c r="P28" s="122"/>
      <c r="Q28" s="83"/>
      <c r="R28" s="83"/>
      <c r="S28" s="83"/>
      <c r="T28" s="83"/>
      <c r="U28" s="121"/>
      <c r="V28" s="83"/>
      <c r="W28" s="122"/>
      <c r="X28" s="122"/>
      <c r="Y28" s="68"/>
      <c r="Z28" s="122"/>
      <c r="AA28" s="122"/>
      <c r="AB28" s="122"/>
      <c r="AC28" s="122"/>
    </row>
    <row r="29" spans="1:29" ht="13.9" x14ac:dyDescent="0.25">
      <c r="A29" s="124" t="s">
        <v>16</v>
      </c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68"/>
      <c r="O29" s="122"/>
      <c r="P29" s="122"/>
      <c r="Q29" s="83"/>
      <c r="R29" s="83"/>
      <c r="S29" s="83"/>
      <c r="T29" s="83"/>
      <c r="U29" s="121"/>
      <c r="V29" s="83"/>
      <c r="W29" s="122"/>
      <c r="X29" s="122"/>
      <c r="Y29" s="68"/>
      <c r="Z29" s="122"/>
      <c r="AA29" s="122"/>
      <c r="AB29" s="122"/>
      <c r="AC29" s="122"/>
    </row>
    <row r="30" spans="1:29" ht="13.9" x14ac:dyDescent="0.25">
      <c r="A30" s="3" t="s">
        <v>11</v>
      </c>
      <c r="B30" s="126">
        <v>-24.3</v>
      </c>
      <c r="C30" s="127">
        <v>14.417</v>
      </c>
      <c r="D30" s="127">
        <v>-65.313000000000002</v>
      </c>
      <c r="E30" s="127">
        <v>186.22900000000001</v>
      </c>
      <c r="F30" s="127">
        <v>19.417000000000002</v>
      </c>
      <c r="G30" s="127">
        <v>0</v>
      </c>
      <c r="H30" s="127">
        <v>298.14999999999998</v>
      </c>
      <c r="I30" s="128">
        <v>411</v>
      </c>
      <c r="J30" s="129"/>
      <c r="K30" s="106">
        <f>D30*(I30-H30)+E30*$E$8/2*(I30^2-H30^2)-F30*$F$8*(I30^(-1)-H30^(-1))+G30*$G$8/3*(I30^3-H30^3)</f>
        <v>1869.3186260996263</v>
      </c>
      <c r="L30" s="107">
        <f t="shared" ref="L30:L34" si="5">K30/1000</f>
        <v>1.8693186260996262</v>
      </c>
      <c r="M30" s="108">
        <f>D30*(LN(I30)-LN(H30))+E30*$E$8*(I30-H30)-F30*$F$8/2*(I30^(-2)-H30^(-2))+G30*$G$8/2*(I30^2-H30^2)</f>
        <v>5.2248425921543333</v>
      </c>
      <c r="N30" s="68"/>
      <c r="O30" s="114">
        <f>LOOKUP($C$2,$H30:$I34,H30:H34)</f>
        <v>598</v>
      </c>
      <c r="P30" s="115">
        <f>TE</f>
        <v>800</v>
      </c>
      <c r="Q30" s="133">
        <f>LOOKUP($C$2,$H30:$I34,B30:B34)</f>
        <v>9.5000000000000001E-2</v>
      </c>
      <c r="R30" s="133">
        <f>LOOKUP($C$2,$H30:$I34,C30:C34)</f>
        <v>0.159</v>
      </c>
      <c r="S30" s="133">
        <f>LOOKUP($C$2,$H30:$I34,D30:D34)*D8</f>
        <v>22.606000000000002</v>
      </c>
      <c r="T30" s="133">
        <f>LOOKUP($C$2,$H30:$I34,E30:E34)*E8</f>
        <v>-1.9997000000000001E-2</v>
      </c>
      <c r="U30" s="134">
        <f>LOOKUP($C$2,$H30:$I34,F30:F34)*F8</f>
        <v>33700</v>
      </c>
      <c r="V30" s="133">
        <f>LOOKUP($C$2,$H30:$I34,G30:G34)*G8</f>
        <v>1.1459E-5</v>
      </c>
      <c r="W30" s="115">
        <f>S30*(P30-O30)+T30/2*(P30^2-O30^2)-U30*(P30^(-1)-O30^(-1))+V30/3*(P30^3-O30^3)</f>
        <v>2895.949451340834</v>
      </c>
      <c r="X30" s="135">
        <f>S30*(LN(P30)-LN(O30))+T30*(P30-O30)-U30/2*(P30^(-2)-O30^(-2))+V30/2*(P30^2-O30^2)</f>
        <v>4.1782050485941298</v>
      </c>
      <c r="Y30" s="68" t="str">
        <f>A29</f>
        <v>FeS</v>
      </c>
      <c r="Z30" s="114">
        <f>S30+T30*TE^$E$7+U30*TE^$F$7+V30*TE^$G$7</f>
        <v>13.994816250000001</v>
      </c>
      <c r="AA30" s="115" cm="1">
        <f t="array" ref="AA30">_xlfn.IFS(TE&lt;=I30,W30/1000+B30,TE&lt;=I31,W30/1000+B30+B31+L30,TE&lt;=I32,W30/1000+B30+B31+B32+L30+L31,TE&lt;=I33,W30/1000+B30+B31+B32+B33+L30+L31+L32,TE&lt;=I34,W30/1000+B30+B31+B32+B33+B34+L30+L31+L32+L33)</f>
        <v>-15.807753922559542</v>
      </c>
      <c r="AB30" s="115" cm="1">
        <f t="array" ref="AB30">_xlfn.IFS(TE&lt;=I30,(C30+X30)/1000,TE&lt;=I31,(C30+X30+M30+C31)/1000,TE&lt;=I32,(C30+X30+M30+M31+C31+C32)/1000,TE&lt;=I33,(C30+X30+M30+M31+M32+C31+C32+C33)/1000,TE&lt;=I34,(C30+X30+M30+M31+M32+M33+C31+C32+C33+C34)/1000)</f>
        <v>3.1432255088072805E-2</v>
      </c>
      <c r="AC30" s="116">
        <f>AA30-TE*AB30</f>
        <v>-40.953557993017782</v>
      </c>
    </row>
    <row r="31" spans="1:29" ht="13.9" x14ac:dyDescent="0.25">
      <c r="A31" s="3" t="s">
        <v>11</v>
      </c>
      <c r="B31" s="136">
        <v>0.39800000000000002</v>
      </c>
      <c r="C31" s="129">
        <v>0.96799999999999997</v>
      </c>
      <c r="D31" s="129">
        <v>17.294</v>
      </c>
      <c r="E31" s="129">
        <v>0</v>
      </c>
      <c r="F31" s="129">
        <v>0</v>
      </c>
      <c r="G31" s="129">
        <v>0</v>
      </c>
      <c r="H31" s="129">
        <v>411</v>
      </c>
      <c r="I31" s="137">
        <v>598</v>
      </c>
      <c r="J31" s="129"/>
      <c r="K31" s="119">
        <f>D31*(I31-H31)+E31*$E$8/2*(I31^2-H31^2)-F31*$F$8*(I31^(-1)-H31^(-1))+G31*$G$8/3*(I31^3-H31^3)</f>
        <v>3233.9780000000001</v>
      </c>
      <c r="L31" s="83">
        <f t="shared" si="5"/>
        <v>3.233978</v>
      </c>
      <c r="M31" s="53">
        <f>D31*(LN(I31)-LN(H31))+E31*$E$8*(I31-H31)-F31*$F$8/2*(I31^(-2)-H31^(-2))+G31*$G$8/2*(I31^2-H31^2)</f>
        <v>6.4852074473243446</v>
      </c>
      <c r="N31" s="68"/>
      <c r="O31" s="122"/>
      <c r="P31" s="122"/>
      <c r="Q31" s="68"/>
      <c r="R31" s="68"/>
      <c r="S31" s="68"/>
      <c r="T31" s="68"/>
      <c r="U31" s="138"/>
      <c r="V31" s="68"/>
      <c r="W31" s="122"/>
      <c r="X31" s="122"/>
      <c r="Y31" s="68"/>
      <c r="Z31" s="122"/>
      <c r="AA31" s="122"/>
      <c r="AB31" s="122"/>
      <c r="AC31" s="122"/>
    </row>
    <row r="32" spans="1:29" ht="13.9" x14ac:dyDescent="0.25">
      <c r="A32" s="3" t="s">
        <v>11</v>
      </c>
      <c r="B32" s="136">
        <v>9.5000000000000001E-2</v>
      </c>
      <c r="C32" s="129">
        <v>0.159</v>
      </c>
      <c r="D32" s="129">
        <v>22.606000000000002</v>
      </c>
      <c r="E32" s="129">
        <v>-19.997</v>
      </c>
      <c r="F32" s="129">
        <v>0.33700000000000002</v>
      </c>
      <c r="G32" s="129">
        <v>11.459</v>
      </c>
      <c r="H32" s="129">
        <v>598</v>
      </c>
      <c r="I32" s="129">
        <v>1465</v>
      </c>
      <c r="J32" s="129"/>
      <c r="K32" s="119">
        <f>D32*(I32-H32)+E32*$E$8/2*(I32^2-H32^2)-F32*$F$8*(I32^(-1)-H32^(-1))+G32*$G$8/3*(I32^3-H32^3)</f>
        <v>12942.271936829886</v>
      </c>
      <c r="L32" s="83">
        <f t="shared" si="5"/>
        <v>12.942271936829886</v>
      </c>
      <c r="M32" s="53">
        <f>D32*(LN(I32)-LN(H32))+E32*$E$8*(I32-H32)-F32*$F$8/2*(I32^(-2)-H32^(-2))+G32*$G$8/2*(I32^2-H32^2)</f>
        <v>13.205196049170588</v>
      </c>
      <c r="N32" s="68"/>
      <c r="O32" s="122"/>
      <c r="P32" s="122"/>
      <c r="Q32" s="83"/>
      <c r="R32" s="83"/>
      <c r="S32" s="83"/>
      <c r="T32" s="83"/>
      <c r="U32" s="121"/>
      <c r="V32" s="83"/>
      <c r="W32" s="122"/>
      <c r="X32" s="122"/>
      <c r="Y32" s="68"/>
      <c r="Z32" s="122"/>
      <c r="AA32" s="122"/>
      <c r="AB32" s="122"/>
      <c r="AC32" s="122"/>
    </row>
    <row r="33" spans="1:29" ht="13.9" x14ac:dyDescent="0.25">
      <c r="A33" s="3" t="s">
        <v>12</v>
      </c>
      <c r="B33" s="136">
        <v>7.7590000000000003</v>
      </c>
      <c r="C33" s="129">
        <v>5.14</v>
      </c>
      <c r="D33" s="129">
        <v>14.95</v>
      </c>
      <c r="E33" s="129">
        <v>0</v>
      </c>
      <c r="F33" s="129">
        <v>0</v>
      </c>
      <c r="G33" s="129">
        <v>0</v>
      </c>
      <c r="H33" s="129">
        <v>1465</v>
      </c>
      <c r="I33" s="137">
        <v>3000</v>
      </c>
      <c r="J33" s="129"/>
      <c r="K33" s="119">
        <f>D33*(I33-H33)+E33*$E$8/2*(I33^2-H33^2)-F33*$F$8*(I33^(-1)-H33^(-1))+G33*$G$8/3*(I33^3-H33^3)</f>
        <v>22948.25</v>
      </c>
      <c r="L33" s="83">
        <f t="shared" si="5"/>
        <v>22.948250000000002</v>
      </c>
      <c r="M33" s="53">
        <f>D33*(LN(I33)-LN(H33))+E33*$E$8*(I33-H33)-F33*$F$8/2*(I33^(-2)-H33^(-2))+G33*$G$8/2*(I33^2-H33^2)</f>
        <v>10.715517840676226</v>
      </c>
      <c r="N33" s="68"/>
      <c r="O33" s="122"/>
      <c r="P33" s="122"/>
      <c r="Q33" s="83"/>
      <c r="R33" s="83"/>
      <c r="S33" s="83"/>
      <c r="T33" s="83"/>
      <c r="U33" s="121"/>
      <c r="V33" s="83"/>
      <c r="W33" s="122"/>
      <c r="X33" s="122"/>
      <c r="Y33" s="68"/>
      <c r="Z33" s="122"/>
      <c r="AA33" s="122"/>
      <c r="AB33" s="122"/>
      <c r="AC33" s="122"/>
    </row>
    <row r="34" spans="1:29" ht="13.9" x14ac:dyDescent="0.25">
      <c r="A34" s="3" t="s">
        <v>12</v>
      </c>
      <c r="B34" s="123">
        <v>0</v>
      </c>
      <c r="C34" s="57">
        <v>0</v>
      </c>
      <c r="D34" s="57">
        <v>14.95</v>
      </c>
      <c r="E34" s="57">
        <v>0</v>
      </c>
      <c r="F34" s="57">
        <v>0</v>
      </c>
      <c r="G34" s="57">
        <v>0</v>
      </c>
      <c r="H34" s="57">
        <v>3000</v>
      </c>
      <c r="I34" s="58">
        <v>3800</v>
      </c>
      <c r="J34" s="83"/>
      <c r="K34" s="123">
        <f>D34*(I34-H34)+E34*$E$8/2*(I34^2-H34^2)-F34*$F$8*(I34^(-1)-H34^(-1))+G34*$G$8/3*(I34^3-H34^3)</f>
        <v>11960</v>
      </c>
      <c r="L34" s="57">
        <f t="shared" si="5"/>
        <v>11.96</v>
      </c>
      <c r="M34" s="58">
        <f>D34*(LN(I34)-LN(H34))+E34*$E$8*(I34-H34)-F34*$F$8/2*(I34^(-2)-H34^(-2))+G34*$G$8/2*(I34^2-H34^2)</f>
        <v>3.5340122320602614</v>
      </c>
      <c r="N34" s="68"/>
      <c r="O34" s="122"/>
      <c r="P34" s="122"/>
      <c r="Q34" s="83"/>
      <c r="R34" s="83"/>
      <c r="S34" s="83"/>
      <c r="T34" s="83"/>
      <c r="U34" s="121"/>
      <c r="V34" s="83"/>
      <c r="W34" s="122"/>
      <c r="X34" s="122"/>
      <c r="Y34" s="68"/>
      <c r="Z34" s="122"/>
      <c r="AA34" s="122"/>
      <c r="AB34" s="122"/>
      <c r="AC34" s="122"/>
    </row>
    <row r="35" spans="1:29" x14ac:dyDescent="0.25">
      <c r="A35" s="124" t="s">
        <v>20</v>
      </c>
      <c r="B35" s="142"/>
      <c r="C35" s="142"/>
      <c r="D35" s="142"/>
      <c r="E35" s="142"/>
      <c r="F35" s="142"/>
      <c r="G35" s="142"/>
      <c r="H35" s="142"/>
      <c r="I35" s="142"/>
      <c r="J35" s="142"/>
      <c r="K35" s="83"/>
      <c r="L35" s="83"/>
      <c r="M35" s="83"/>
      <c r="N35" s="68"/>
      <c r="O35" s="122"/>
      <c r="P35" s="122"/>
      <c r="Q35" s="83"/>
      <c r="R35" s="83"/>
      <c r="S35" s="83"/>
      <c r="T35" s="83"/>
      <c r="U35" s="121"/>
      <c r="V35" s="83"/>
      <c r="W35" s="122"/>
      <c r="X35" s="122"/>
      <c r="Y35" s="68"/>
      <c r="Z35" s="122"/>
      <c r="AA35" s="122"/>
      <c r="AB35" s="122"/>
      <c r="AC35" s="122"/>
    </row>
    <row r="36" spans="1:29" ht="13.9" x14ac:dyDescent="0.25">
      <c r="A36" s="125" t="s">
        <v>11</v>
      </c>
      <c r="B36" s="143">
        <v>-40.988999999999997</v>
      </c>
      <c r="C36" s="144">
        <v>12.651</v>
      </c>
      <c r="D36" s="144">
        <v>17.300999999999998</v>
      </c>
      <c r="E36" s="144">
        <v>2.1150000000000002</v>
      </c>
      <c r="F36" s="144">
        <v>-2.7309999999999999</v>
      </c>
      <c r="G36" s="144">
        <v>0</v>
      </c>
      <c r="H36" s="144">
        <v>298.14999999999998</v>
      </c>
      <c r="I36" s="145">
        <v>2000</v>
      </c>
      <c r="J36" s="129"/>
      <c r="K36" s="146">
        <f>D36*(I36-H36)+E36*$E$8/2*(I36^2-H36^2)-F36*$F$8*(I36^(-1)-H36^(-1))+G36*$G$8/3*(I36^3-H36^3)</f>
        <v>32800.270167394992</v>
      </c>
      <c r="L36" s="133">
        <f>K36/1000</f>
        <v>32.800270167394991</v>
      </c>
      <c r="M36" s="147">
        <f>D36*(LN(I36)-LN(H36))+E36*$E$8*(I36-H36)-F36*$F$8/2*(I36^(-2)-H36^(-2))+G36*$G$8/2*(I36^2-H36^2)</f>
        <v>35.026533772843479</v>
      </c>
      <c r="N36" s="68"/>
      <c r="O36" s="114">
        <f ca="1">LOOKUP($C$2,$H36:$I36,H36:H36)</f>
        <v>298.14999999999998</v>
      </c>
      <c r="P36" s="115">
        <f>TE</f>
        <v>800</v>
      </c>
      <c r="Q36" s="133">
        <f ca="1">LOOKUP($C$2,$H36:$I36,B36:B36)</f>
        <v>-40.988999999999997</v>
      </c>
      <c r="R36" s="133">
        <f ca="1">LOOKUP($C$2,$H36:$I36,C36:C36)</f>
        <v>12.651</v>
      </c>
      <c r="S36" s="133">
        <f ca="1">LOOKUP($C$2,$H36:$I36,D36:D36)*D8</f>
        <v>17.300999999999998</v>
      </c>
      <c r="T36" s="133">
        <f ca="1">LOOKUP($C$2,$H36:$I36,E36:E36)*E8</f>
        <v>2.1150000000000001E-3</v>
      </c>
      <c r="U36" s="134">
        <f ca="1">LOOKUP($C$2,$H36:$I36,F36:F36)*F8</f>
        <v>-273100</v>
      </c>
      <c r="V36" s="133">
        <f ca="1">LOOKUP($C$2,$H36:$I36,G36:G36)*G8</f>
        <v>0</v>
      </c>
      <c r="W36" s="115">
        <f ca="1">S36*(P36-O36)+T36/2*(P36^2-O36^2)-U36*(P36^(-1)-O36^(-1))+V36/3*(P36^3-O36^3)</f>
        <v>8690.695167394997</v>
      </c>
      <c r="X36" s="135">
        <f ca="1">S36*(LN(P36)-LN(O36))+T36*(P36-O36)-U36/2*(P36^(-2)-O36^(-2))+V36/2*(P36^2-O36^2)</f>
        <v>16.815009695688723</v>
      </c>
      <c r="Y36" s="68" t="str">
        <f>A35</f>
        <v>FeS₂</v>
      </c>
      <c r="Z36" s="114">
        <f ca="1">S36+T36*TE^$E$7+U36*TE^$F$7+V36*TE^$G$7</f>
        <v>18.566281249999999</v>
      </c>
      <c r="AA36" s="115" cm="1">
        <f t="array" aca="1" ref="AA36" ca="1">_xlfn.IFS(TE&lt;=I36,W36/1000+B36)</f>
        <v>-32.298304832604998</v>
      </c>
      <c r="AB36" s="115" cm="1">
        <f t="array" aca="1" ref="AB36" ca="1">_xlfn.IFS(TE&lt;=I36,(C36+X36)/1000)</f>
        <v>2.9466009695688723E-2</v>
      </c>
      <c r="AC36" s="116">
        <f ca="1">AA36-TE*AB36</f>
        <v>-55.871112589155977</v>
      </c>
    </row>
    <row r="37" spans="1:29" x14ac:dyDescent="0.25">
      <c r="A37" s="124" t="s">
        <v>21</v>
      </c>
      <c r="B37" s="142"/>
      <c r="C37" s="142"/>
      <c r="D37" s="142"/>
      <c r="E37" s="142"/>
      <c r="F37" s="142"/>
      <c r="G37" s="142"/>
      <c r="H37" s="142"/>
      <c r="I37" s="142"/>
      <c r="J37" s="142"/>
      <c r="K37" s="83"/>
      <c r="L37" s="83"/>
      <c r="M37" s="83"/>
      <c r="N37" s="68"/>
      <c r="O37" s="122"/>
      <c r="P37" s="122"/>
      <c r="Q37" s="83"/>
      <c r="R37" s="83"/>
      <c r="S37" s="83"/>
      <c r="T37" s="83"/>
      <c r="U37" s="121"/>
      <c r="V37" s="83"/>
      <c r="W37" s="122"/>
      <c r="X37" s="122"/>
      <c r="Y37" s="68"/>
      <c r="Z37" s="122"/>
      <c r="AA37" s="122"/>
      <c r="AB37" s="122"/>
      <c r="AC37" s="122"/>
    </row>
    <row r="38" spans="1:29" ht="13.9" x14ac:dyDescent="0.25">
      <c r="A38" s="125" t="s">
        <v>11</v>
      </c>
      <c r="B38" s="126">
        <v>-222</v>
      </c>
      <c r="C38" s="127">
        <v>28.91</v>
      </c>
      <c r="D38" s="127">
        <v>48.417999999999999</v>
      </c>
      <c r="E38" s="127">
        <v>-70.832999999999998</v>
      </c>
      <c r="F38" s="127">
        <v>-9.7609999999999992</v>
      </c>
      <c r="G38" s="127">
        <v>86.85</v>
      </c>
      <c r="H38" s="127">
        <v>298.14999999999998</v>
      </c>
      <c r="I38" s="128">
        <v>500</v>
      </c>
      <c r="J38" s="129"/>
      <c r="K38" s="106">
        <f>D38*(I38-H38)+E38*$E$8/2*(I38^2-H38^2)-F38*$F$8*(I38^(-1)-H38^(-1))+G38*$G$8/3*(I38^3-H38^3)</f>
        <v>5597.1582911426285</v>
      </c>
      <c r="L38" s="107">
        <f>K38/1000</f>
        <v>5.5971582911426285</v>
      </c>
      <c r="M38" s="108">
        <f>D38*(LN(I38)-LN(H38))+E38*$E$8*(I38-H38)-F38*$F$8/2*(I38^(-2)-H38^(-2))+G38*$G$8/2*(I38^2-H38^2)</f>
        <v>14.192986734481288</v>
      </c>
      <c r="N38" s="68"/>
      <c r="O38" s="114">
        <f>LOOKUP($C$2,$H38:$I40,H38:H40)</f>
        <v>500</v>
      </c>
      <c r="P38" s="115">
        <f>TE</f>
        <v>800</v>
      </c>
      <c r="Q38" s="133">
        <f>LOOKUP($C$2,$H38:$I40,B38:B40)</f>
        <v>0</v>
      </c>
      <c r="R38" s="133">
        <f>LOOKUP($C$2,$H38:$I40,C38:C40)</f>
        <v>0</v>
      </c>
      <c r="S38" s="133">
        <f>LOOKUP($C$2,$H38:$I40,D38:D40)*D8</f>
        <v>24.234000000000002</v>
      </c>
      <c r="T38" s="133">
        <f>LOOKUP($C$2,$H38:$I40,E38:E40)*E8</f>
        <v>2.5104000000000001E-2</v>
      </c>
      <c r="U38" s="134">
        <f>LOOKUP($C$2,$H38:$I40,F38:F40)*F8</f>
        <v>-771400</v>
      </c>
      <c r="V38" s="133">
        <f>LOOKUP($C$2,$H38:$I40,G38:G40)*G8</f>
        <v>-1.1561999999999999E-5</v>
      </c>
      <c r="W38" s="115">
        <f>S38*(P38-O38)+T38/2*(P38^2-O38^2)-U38*(P38^(-1)-O38^(-1))+V38/3*(P38^3-O38^3)</f>
        <v>10095.432000000003</v>
      </c>
      <c r="X38" s="135">
        <f>S38*(LN(P38)-LN(O38))+T38*(P38-O38)-U38/2*(P38^(-2)-O38^(-2))+V38/2*(P38^2-O38^2)</f>
        <v>15.72653420114116</v>
      </c>
      <c r="Y38" s="68" t="str">
        <f>A37</f>
        <v>FeSO₄</v>
      </c>
      <c r="Z38" s="114">
        <f>S38+T38*TE^$E$7+U38*TE^$F$7+V38*TE^$G$7</f>
        <v>35.712207500000005</v>
      </c>
      <c r="AA38" s="115" cm="1">
        <f t="array" ref="AA38">_xlfn.IFS(TE&lt;=I38,W38/1000+B38,TE&lt;=I39,W38/1000+B38+B39+L38,TE&lt;=I40,W38/1000+B38+B39+B40+L38+L39)</f>
        <v>-206.30740970885736</v>
      </c>
      <c r="AB38" s="115" cm="1">
        <f t="array" ref="AB38">_xlfn.IFS(TE&lt;=I38,(C38+X38)/1000,TE&lt;=I39,(C38+X38+M38+C39)/1000,TE&lt;=I40,(C38+X38+M38+M39+C39+C40)/1000)</f>
        <v>5.8829520935622451E-2</v>
      </c>
      <c r="AC38" s="116">
        <f>AA38-TE*AB38</f>
        <v>-253.37102645735533</v>
      </c>
    </row>
    <row r="39" spans="1:29" ht="13.9" x14ac:dyDescent="0.25">
      <c r="A39" s="125" t="s">
        <v>11</v>
      </c>
      <c r="B39" s="136">
        <v>0</v>
      </c>
      <c r="C39" s="129">
        <v>0</v>
      </c>
      <c r="D39" s="129">
        <v>24.234000000000002</v>
      </c>
      <c r="E39" s="129">
        <v>25.103999999999999</v>
      </c>
      <c r="F39" s="129">
        <v>-7.7140000000000004</v>
      </c>
      <c r="G39" s="129">
        <v>-11.561999999999999</v>
      </c>
      <c r="H39" s="129">
        <v>500</v>
      </c>
      <c r="I39" s="137">
        <v>900</v>
      </c>
      <c r="J39" s="129"/>
      <c r="K39" s="119">
        <f>D39*(I39-H39)+E39*$E$8/2*(I39^2-H39^2)-F39*$F$8*(I39^(-1)-H39^(-1))+G39*$G$8/3*(I39^3-H39^3)</f>
        <v>13709.215111111112</v>
      </c>
      <c r="L39" s="83">
        <f>K39/1000</f>
        <v>13.709215111111112</v>
      </c>
      <c r="M39" s="53">
        <f>D39*(LN(I39)-LN(H39))+E39*$E$8*(I39-H39)-F39*$F$8/2*(I39^(-2)-H39^(-2))+G39*$G$8/2*(I39^2-H39^2)</f>
        <v>19.982034876744141</v>
      </c>
      <c r="N39" s="68"/>
      <c r="O39" s="122"/>
      <c r="P39" s="122"/>
      <c r="Q39" s="68"/>
      <c r="R39" s="68"/>
      <c r="S39" s="68"/>
      <c r="T39" s="68"/>
      <c r="U39" s="138"/>
      <c r="V39" s="68"/>
      <c r="W39" s="122"/>
      <c r="X39" s="122"/>
      <c r="Y39" s="68"/>
      <c r="Z39" s="122"/>
      <c r="AA39" s="122"/>
      <c r="AB39" s="122"/>
      <c r="AC39" s="122"/>
    </row>
    <row r="40" spans="1:29" ht="13.9" x14ac:dyDescent="0.25">
      <c r="A40" s="125" t="s">
        <v>11</v>
      </c>
      <c r="B40" s="139">
        <v>0</v>
      </c>
      <c r="C40" s="140">
        <v>0</v>
      </c>
      <c r="D40" s="140">
        <v>36.084000000000003</v>
      </c>
      <c r="E40" s="140">
        <v>2.6840000000000002</v>
      </c>
      <c r="F40" s="140">
        <v>-16.2</v>
      </c>
      <c r="G40" s="140">
        <v>1.2999999999999999E-2</v>
      </c>
      <c r="H40" s="140">
        <v>900</v>
      </c>
      <c r="I40" s="141">
        <v>2000</v>
      </c>
      <c r="J40" s="129"/>
      <c r="K40" s="123">
        <f>D40*(I40-H40)+E40*$E$8/2*(I40^2-H40^2)-F40*$F$8*(I40^(-1)-H40^(-1))+G40*$G$8/3*(I40^3-H40^3)</f>
        <v>43014.887666666669</v>
      </c>
      <c r="L40" s="57">
        <f>K40/1000</f>
        <v>43.014887666666667</v>
      </c>
      <c r="M40" s="58">
        <f>D40*(LN(I40)-LN(H40))+E40*$E$8*(I40-H40)-F40*$F$8/2*(I40^(-2)-H40^(-2))+G40*$G$8/2*(I40^2-H40^2)</f>
        <v>30.988986710322063</v>
      </c>
      <c r="N40" s="68"/>
      <c r="O40" s="122"/>
      <c r="P40" s="122"/>
      <c r="Q40" s="83"/>
      <c r="R40" s="83"/>
      <c r="S40" s="83"/>
      <c r="T40" s="83"/>
      <c r="U40" s="121"/>
      <c r="V40" s="83"/>
      <c r="W40" s="122"/>
      <c r="X40" s="122"/>
      <c r="Y40" s="68"/>
      <c r="Z40" s="122"/>
      <c r="AA40" s="122"/>
      <c r="AB40" s="122"/>
      <c r="AC40" s="122"/>
    </row>
    <row r="41" spans="1:29" x14ac:dyDescent="0.25">
      <c r="A41" s="124" t="s">
        <v>22</v>
      </c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68"/>
      <c r="O41" s="122"/>
      <c r="P41" s="122"/>
      <c r="Q41" s="83"/>
      <c r="R41" s="83"/>
      <c r="S41" s="83"/>
      <c r="T41" s="83"/>
      <c r="U41" s="121"/>
      <c r="V41" s="83"/>
      <c r="W41" s="122"/>
      <c r="X41" s="122"/>
      <c r="Y41" s="68"/>
      <c r="Z41" s="122"/>
      <c r="AA41" s="122"/>
      <c r="AB41" s="122"/>
      <c r="AC41" s="122"/>
    </row>
    <row r="42" spans="1:29" ht="13.9" x14ac:dyDescent="0.25">
      <c r="A42" s="125" t="s">
        <v>11</v>
      </c>
      <c r="B42" s="126">
        <v>-617.87800000000004</v>
      </c>
      <c r="C42" s="127">
        <v>73.040000000000006</v>
      </c>
      <c r="D42" s="127">
        <v>139.58099999999999</v>
      </c>
      <c r="E42" s="127">
        <v>-227.68</v>
      </c>
      <c r="F42" s="127">
        <v>-28.606000000000002</v>
      </c>
      <c r="G42" s="127">
        <v>267.161</v>
      </c>
      <c r="H42" s="127">
        <v>298.14999999999998</v>
      </c>
      <c r="I42" s="128">
        <v>500</v>
      </c>
      <c r="J42" s="129"/>
      <c r="K42" s="106">
        <f>D42*(I42-H42)+E42*$E$8/2*(I42^2-H42^2)-F42*$F$8*(I42^(-1)-H42^(-1))+G42*$G$8/3*(I42^3-H42^3)</f>
        <v>14732.220550483877</v>
      </c>
      <c r="L42" s="107">
        <f t="shared" ref="L42:L44" si="6">K42/1000</f>
        <v>14.732220550483877</v>
      </c>
      <c r="M42" s="108">
        <f>D42*(LN(I42)-LN(H42))+E42*$E$8*(I42-H42)-F42*$F$8/2*(I42^(-2)-H42^(-2))+G42*$G$8/2*(I42^2-H42^2)</f>
        <v>37.359600648807628</v>
      </c>
      <c r="N42" s="68"/>
      <c r="O42" s="114">
        <f>LOOKUP($C$2,$H42:$I44,H42:H44)</f>
        <v>500</v>
      </c>
      <c r="P42" s="115">
        <f>TE</f>
        <v>800</v>
      </c>
      <c r="Q42" s="133">
        <f>LOOKUP($C$2,$H42:$I44,B42:B44)</f>
        <v>0</v>
      </c>
      <c r="R42" s="133">
        <f>LOOKUP($C$2,$H42:$I44,C42:C44)</f>
        <v>0</v>
      </c>
      <c r="S42" s="133">
        <f>LOOKUP($C$2,$H42:$I44,D42:D44)*D8</f>
        <v>63.546999999999997</v>
      </c>
      <c r="T42" s="133">
        <f>LOOKUP($C$2,$H42:$I44,E42:E44)*E8</f>
        <v>6.6608000000000001E-2</v>
      </c>
      <c r="U42" s="134">
        <f>LOOKUP($C$2,$H42:$I44,F42:F44)*F8</f>
        <v>-2017899.9999999998</v>
      </c>
      <c r="V42" s="133">
        <f>LOOKUP($C$2,$H42:$I44,G42:G44)*G8</f>
        <v>-3.0756000000000002E-5</v>
      </c>
      <c r="W42" s="115">
        <f>S42*(P42-O42)+T42/2*(P42^2-O42^2)-U42*(P42^(-1)-O42^(-1))+V42/3*(P42^3-O42^3)</f>
        <v>26571.710999999996</v>
      </c>
      <c r="X42" s="135">
        <f>S42*(LN(P42)-LN(O42))+T42*(P42-O42)-U42/2*(P42^(-2)-O42^(-2))+V42/2*(P42^2-O42^2)</f>
        <v>41.392985002678763</v>
      </c>
      <c r="Y42" s="68" t="str">
        <f>A41</f>
        <v>Fe₂(SO₄)₃</v>
      </c>
      <c r="Z42" s="114">
        <f>S42+T42*TE^$E$7+U42*TE^$F$7+V42*TE^$G$7</f>
        <v>93.996591249999994</v>
      </c>
      <c r="AA42" s="115" cm="1">
        <f t="array" ref="AA42">_xlfn.IFS(TE&lt;=I42,W42/1000+B42,TE&lt;=I43,W42/1000+B42+B43+L42,TE&lt;=I44,W42/1000+B42+B43+B44+L42+L43)</f>
        <v>-576.57406844951606</v>
      </c>
      <c r="AB42" s="115" cm="1">
        <f t="array" ref="AB42">_xlfn.IFS(TE&lt;=I42,(C42+X42)/1000,TE&lt;=I43,(C42+X42+M42+C43)/1000,TE&lt;=I44,(C42+X42+M42+M43+C43+C44)/1000)</f>
        <v>0.1517925856514864</v>
      </c>
      <c r="AC42" s="116">
        <f>AA42-TE*AB42</f>
        <v>-698.00813697070521</v>
      </c>
    </row>
    <row r="43" spans="1:29" ht="13.9" x14ac:dyDescent="0.25">
      <c r="A43" s="125" t="s">
        <v>11</v>
      </c>
      <c r="B43" s="136">
        <v>0</v>
      </c>
      <c r="C43" s="129">
        <v>0</v>
      </c>
      <c r="D43" s="129">
        <v>63.546999999999997</v>
      </c>
      <c r="E43" s="129">
        <v>66.608000000000004</v>
      </c>
      <c r="F43" s="129">
        <v>-20.178999999999998</v>
      </c>
      <c r="G43" s="129">
        <v>-30.756</v>
      </c>
      <c r="H43" s="129">
        <v>500</v>
      </c>
      <c r="I43" s="137">
        <v>900</v>
      </c>
      <c r="J43" s="129"/>
      <c r="K43" s="119">
        <f>D43*(I43-H43)+E43*$E$8/2*(I43^2-H43^2)-F43*$F$8*(I43^(-1)-H43^(-1))+G43*$G$8/3*(I43^3-H43^3)</f>
        <v>36083.143111111116</v>
      </c>
      <c r="L43" s="83">
        <f t="shared" si="6"/>
        <v>36.083143111111113</v>
      </c>
      <c r="M43" s="53">
        <f>D43*(LN(I43)-LN(H43))+E43*$E$8*(I43-H43)-F43*$F$8/2*(I43^(-2)-H43^(-2))+G43*$G$8/2*(I43^2-H43^2)</f>
        <v>52.593416478485608</v>
      </c>
      <c r="N43" s="68"/>
      <c r="O43" s="122"/>
      <c r="P43" s="122"/>
      <c r="Q43" s="68"/>
      <c r="R43" s="68"/>
      <c r="S43" s="68"/>
      <c r="T43" s="68"/>
      <c r="U43" s="138"/>
      <c r="V43" s="68"/>
      <c r="W43" s="122"/>
      <c r="X43" s="122"/>
      <c r="Y43" s="68"/>
      <c r="Z43" s="122"/>
      <c r="AA43" s="122"/>
      <c r="AB43" s="122"/>
      <c r="AC43" s="122"/>
    </row>
    <row r="44" spans="1:29" ht="13.9" x14ac:dyDescent="0.25">
      <c r="A44" s="125" t="s">
        <v>11</v>
      </c>
      <c r="B44" s="139">
        <v>0</v>
      </c>
      <c r="C44" s="140">
        <v>0</v>
      </c>
      <c r="D44" s="140">
        <v>94.984999999999999</v>
      </c>
      <c r="E44" s="140">
        <v>7.0620000000000003</v>
      </c>
      <c r="F44" s="140">
        <v>-42.752000000000002</v>
      </c>
      <c r="G44" s="140">
        <v>3.3000000000000002E-2</v>
      </c>
      <c r="H44" s="140">
        <v>900</v>
      </c>
      <c r="I44" s="141">
        <v>2000</v>
      </c>
      <c r="J44" s="129"/>
      <c r="K44" s="123">
        <f>D44*(I44-H44)+E44*$E$8/2*(I44^2-H44^2)-F44*$F$8*(I44^(-1)-H44^(-1))+G44*$G$8/3*(I44^3-H44^3)</f>
        <v>113214.74877777777</v>
      </c>
      <c r="L44" s="57">
        <f t="shared" si="6"/>
        <v>113.21474877777777</v>
      </c>
      <c r="M44" s="58">
        <f>D44*(LN(I44)-LN(H44))+E44*$E$8*(I44-H44)-F44*$F$8/2*(I44^(-2)-H44^(-2))+G44*$G$8/2*(I44^2-H44^2)</f>
        <v>81.562476179565991</v>
      </c>
      <c r="N44" s="68"/>
      <c r="O44" s="122"/>
      <c r="P44" s="122"/>
      <c r="Q44" s="83"/>
      <c r="R44" s="83"/>
      <c r="S44" s="83"/>
      <c r="T44" s="83"/>
      <c r="U44" s="121"/>
      <c r="V44" s="83"/>
      <c r="W44" s="122"/>
      <c r="X44" s="122"/>
      <c r="Y44" s="68"/>
      <c r="Z44" s="122"/>
      <c r="AA44" s="122"/>
      <c r="AB44" s="122"/>
      <c r="AC44" s="122"/>
    </row>
    <row r="45" spans="1:29" x14ac:dyDescent="0.25">
      <c r="A45" s="124" t="s">
        <v>35</v>
      </c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68"/>
      <c r="O45" s="122"/>
      <c r="P45" s="122"/>
      <c r="Q45" s="83"/>
      <c r="R45" s="83"/>
      <c r="S45" s="83"/>
      <c r="T45" s="83"/>
      <c r="U45" s="121"/>
      <c r="V45" s="83"/>
      <c r="W45" s="122"/>
      <c r="X45" s="122"/>
      <c r="Y45" s="68"/>
      <c r="Z45" s="122"/>
      <c r="AA45" s="122"/>
      <c r="AB45" s="122"/>
      <c r="AC45" s="122"/>
    </row>
    <row r="46" spans="1:29" ht="13.9" x14ac:dyDescent="0.25">
      <c r="A46" s="125" t="s">
        <v>6</v>
      </c>
      <c r="B46" s="126">
        <v>0</v>
      </c>
      <c r="C46" s="127">
        <v>49.031787872314453</v>
      </c>
      <c r="D46" s="127">
        <v>5.2723588943481445</v>
      </c>
      <c r="E46" s="127">
        <v>4.9920454025268555</v>
      </c>
      <c r="F46" s="127">
        <v>0.38732200860977173</v>
      </c>
      <c r="G46" s="127">
        <v>-1.9615992307662964</v>
      </c>
      <c r="H46" s="127">
        <v>298</v>
      </c>
      <c r="I46" s="128">
        <v>700</v>
      </c>
      <c r="J46" s="129"/>
      <c r="K46" s="106">
        <f>D46*(I46-H46)+E46*$E$8/2*(I46^2-H46^2)-F46*$F$8*(I46^(-1)-H46^(-1))+G46*$G$8/3*(I46^3-H46^3)</f>
        <v>2988.5521872467866</v>
      </c>
      <c r="L46" s="107">
        <f t="shared" ref="L46:L49" si="7">K46/1000</f>
        <v>2.9885521872467864</v>
      </c>
      <c r="M46" s="108">
        <f>D46*(LN(I46)-LN(H46))+E46*$E$8*(I46-H46)-F46*$F$8/2*(I46^(-2)-H46^(-2))+G46*$G$8/2*(I46^2-H46^2)</f>
        <v>6.2943887652045065</v>
      </c>
      <c r="N46" s="68"/>
      <c r="O46" s="114">
        <f>LOOKUP($C$2,$H46:$I49,H46:H49)</f>
        <v>700</v>
      </c>
      <c r="P46" s="115">
        <f>TE</f>
        <v>800</v>
      </c>
      <c r="Q46" s="133">
        <f>LOOKUP($C$2,$H46:$I49,B46:B49)</f>
        <v>0</v>
      </c>
      <c r="R46" s="133">
        <f>LOOKUP($C$2,$H46:$I49,C46:C49)</f>
        <v>0</v>
      </c>
      <c r="S46" s="133">
        <f>LOOKUP($C$2,$H46:$I49,D46:D49)*D8</f>
        <v>7.120692253112793</v>
      </c>
      <c r="T46" s="133">
        <f>LOOKUP($C$2,$H46:$I49,E46:E49)*E8</f>
        <v>1.8906252384185791E-3</v>
      </c>
      <c r="U46" s="134">
        <f>LOOKUP($C$2,$H46:$I49,F46:F49)*F8</f>
        <v>-148036.34881973267</v>
      </c>
      <c r="V46" s="133">
        <f>LOOKUP($C$2,$H46:$I49,G46:G49)*G8</f>
        <v>-5.2667200565338137E-7</v>
      </c>
      <c r="W46" s="115">
        <f>S46*(P46-O46)+T46/2*(P46^2-O46^2)-U46*(P46^(-1)-O46^(-1))+V46/3*(P46^3-O46^3)</f>
        <v>797.76186625162757</v>
      </c>
      <c r="X46" s="135">
        <f>S46*(LN(P46)-LN(O46))+T46*(P46-O46)-U46/2*(P46^(-2)-O46^(-2))+V46/2*(P46^2-O46^2)</f>
        <v>1.0649939751464266</v>
      </c>
      <c r="Y46" s="68" t="str">
        <f>A45</f>
        <v>O₂(g)</v>
      </c>
      <c r="Z46" s="114">
        <f>S46+T46*TE^$E$7+U46*TE^$F$7+V46*TE^$G$7</f>
        <v>8.0648155651986606</v>
      </c>
      <c r="AA46" s="115" cm="1">
        <f t="array" ref="AA46">_xlfn.IFS(TE&lt;=I46,W46/1000+B46,TE&lt;=I47,W46/1000+B46+B47+L46,TE&lt;=I48,W46/1000+B46+B47+B48+L46+L47,TE&lt;=I49,W46/1000+B46+B47+B48+B49+L46+L47+L48)</f>
        <v>3.7863140534984141</v>
      </c>
      <c r="AB46" s="115" cm="1">
        <f t="array" ref="AB46">_xlfn.IFS(TE&lt;=I46,(C46+X46)/1000,TE&lt;=I47,(C46+X46+M46+C47)/1000,TE&lt;=I48,(C46+X46+M46+M47+C47+C48)/1000,TE&lt;=I49,(C46+X46+M46+M47+M48+C47+C48+C49)/1000)</f>
        <v>5.6391170612665388E-2</v>
      </c>
      <c r="AC46" s="116">
        <f>AA46-TE*AB46</f>
        <v>-41.326622436633897</v>
      </c>
    </row>
    <row r="47" spans="1:29" x14ac:dyDescent="0.25">
      <c r="A47" s="125" t="s">
        <v>6</v>
      </c>
      <c r="B47" s="136">
        <v>0</v>
      </c>
      <c r="C47" s="129">
        <v>0</v>
      </c>
      <c r="D47" s="129">
        <v>7.120692253112793</v>
      </c>
      <c r="E47" s="129">
        <v>1.8906252384185791</v>
      </c>
      <c r="F47" s="129">
        <v>-1.4803634881973267</v>
      </c>
      <c r="G47" s="129">
        <v>-0.52667200565338135</v>
      </c>
      <c r="H47" s="129">
        <v>700</v>
      </c>
      <c r="I47" s="137">
        <v>1200</v>
      </c>
      <c r="J47" s="129"/>
      <c r="K47" s="119">
        <f>D47*(I47-H47)+E47*$E$8/2*(I47^2-H47^2)-F47*$F$8*(I47^(-1)-H47^(-1))+G47*$G$8/3*(I47^3-H47^3)</f>
        <v>4127.1293312311172</v>
      </c>
      <c r="L47" s="83">
        <f t="shared" si="7"/>
        <v>4.1271293312311172</v>
      </c>
      <c r="M47" s="53">
        <f>D47*(LN(I47)-LN(H47))+E47*$E$8*(I47-H47)-F47*$F$8/2*(I47^(-2)-H47^(-2))+G47*$G$8/2*(I47^2-H47^2)</f>
        <v>4.4335156349572893</v>
      </c>
      <c r="N47" s="68"/>
      <c r="O47" s="122"/>
      <c r="P47" s="122"/>
      <c r="Q47" s="68"/>
      <c r="R47" s="68"/>
      <c r="S47" s="68"/>
      <c r="T47" s="68"/>
      <c r="U47" s="138"/>
      <c r="V47" s="68"/>
      <c r="W47" s="122"/>
      <c r="X47" s="122"/>
      <c r="Y47" s="68"/>
      <c r="Z47" s="122"/>
      <c r="AA47" s="122"/>
      <c r="AB47" s="122"/>
      <c r="AC47" s="122"/>
    </row>
    <row r="48" spans="1:29" x14ac:dyDescent="0.25">
      <c r="A48" s="125" t="s">
        <v>6</v>
      </c>
      <c r="B48" s="136">
        <v>0</v>
      </c>
      <c r="C48" s="129">
        <v>0</v>
      </c>
      <c r="D48" s="129">
        <v>8.331608772277832</v>
      </c>
      <c r="E48" s="129">
        <v>0.31361931562423706</v>
      </c>
      <c r="F48" s="129">
        <v>-3.3796303272247314</v>
      </c>
      <c r="G48" s="129">
        <v>3.885253518819809E-2</v>
      </c>
      <c r="H48" s="129">
        <v>1200</v>
      </c>
      <c r="I48" s="137">
        <v>2500</v>
      </c>
      <c r="J48" s="129"/>
      <c r="K48" s="119">
        <f>D48*(I48-H48)+E48*$E$8/2*(I48^2-H48^2)-F48*$F$8*(I48^(-1)-H48^(-1))+G48*$G$8/3*(I48^3-H48^3)</f>
        <v>11618.873104361197</v>
      </c>
      <c r="L48" s="83">
        <f t="shared" si="7"/>
        <v>11.618873104361198</v>
      </c>
      <c r="M48" s="53">
        <f>D48*(LN(I48)-LN(H48))+E48*$E$8*(I48-H48)-F48*$F$8/2*(I48^(-2)-H48^(-2))+G48*$G$8/2*(I48^2-H48^2)</f>
        <v>6.5259782424857837</v>
      </c>
      <c r="N48" s="68"/>
      <c r="O48" s="122"/>
      <c r="P48" s="122"/>
      <c r="Q48" s="83"/>
      <c r="R48" s="83"/>
      <c r="S48" s="83"/>
      <c r="T48" s="83"/>
      <c r="U48" s="121"/>
      <c r="V48" s="83"/>
      <c r="W48" s="122"/>
      <c r="X48" s="122"/>
      <c r="Y48" s="68"/>
      <c r="Z48" s="122"/>
      <c r="AA48" s="122"/>
      <c r="AB48" s="122"/>
      <c r="AC48" s="122"/>
    </row>
    <row r="49" spans="1:29" x14ac:dyDescent="0.25">
      <c r="A49" s="125" t="s">
        <v>6</v>
      </c>
      <c r="B49" s="139">
        <v>0</v>
      </c>
      <c r="C49" s="140">
        <v>0</v>
      </c>
      <c r="D49" s="140">
        <v>7.8139004707336426</v>
      </c>
      <c r="E49" s="140">
        <v>0.74984574317932129</v>
      </c>
      <c r="F49" s="140">
        <v>-4.1353487968444824</v>
      </c>
      <c r="G49" s="140">
        <v>-5.1188889890909195E-2</v>
      </c>
      <c r="H49" s="140">
        <v>2500</v>
      </c>
      <c r="I49" s="141">
        <v>4500</v>
      </c>
      <c r="J49" s="129"/>
      <c r="K49" s="123">
        <f>D49*(I49-H49)+E49*$E$8/2*(I49^2-H49^2)-F49*$F$8*(I49^(-1)-H49^(-1))+G49*$G$8/3*(I49^3-H49^3)</f>
        <v>19514.950102857416</v>
      </c>
      <c r="L49" s="57">
        <f t="shared" si="7"/>
        <v>19.514950102857416</v>
      </c>
      <c r="M49" s="58">
        <f>D49*(LN(I49)-LN(H49))+E49*$E$8*(I49-H49)-F49*$F$8/2*(I49^(-2)-H49^(-2))+G49*$G$8/2*(I49^2-H49^2)</f>
        <v>5.7114037020871375</v>
      </c>
      <c r="N49" s="68"/>
      <c r="O49" s="122"/>
      <c r="P49" s="122"/>
      <c r="Q49" s="83"/>
      <c r="R49" s="83"/>
      <c r="S49" s="83"/>
      <c r="T49" s="83"/>
      <c r="U49" s="121"/>
      <c r="V49" s="83"/>
      <c r="W49" s="122"/>
      <c r="X49" s="122"/>
      <c r="Y49" s="68"/>
      <c r="Z49" s="122"/>
      <c r="AA49" s="122"/>
      <c r="AB49" s="122"/>
      <c r="AC49" s="122"/>
    </row>
    <row r="50" spans="1:29" x14ac:dyDescent="0.25">
      <c r="A50" s="124" t="s">
        <v>36</v>
      </c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68"/>
      <c r="O50" s="122"/>
      <c r="P50" s="122"/>
      <c r="Q50" s="83"/>
      <c r="R50" s="83"/>
      <c r="S50" s="83"/>
      <c r="T50" s="83"/>
      <c r="U50" s="121"/>
      <c r="V50" s="83"/>
      <c r="W50" s="122"/>
      <c r="X50" s="122"/>
      <c r="Y50" s="68"/>
      <c r="Z50" s="122"/>
      <c r="AA50" s="122"/>
      <c r="AB50" s="122"/>
      <c r="AC50" s="122"/>
    </row>
    <row r="51" spans="1:29" x14ac:dyDescent="0.25">
      <c r="A51" s="125" t="s">
        <v>6</v>
      </c>
      <c r="B51" s="126">
        <v>-70.94000244140625</v>
      </c>
      <c r="C51" s="127">
        <v>59.326000213623047</v>
      </c>
      <c r="D51" s="127">
        <v>6.963261604309082</v>
      </c>
      <c r="E51" s="127">
        <v>8.8961639404296875</v>
      </c>
      <c r="F51" s="127">
        <v>1.3905203901231289E-2</v>
      </c>
      <c r="G51" s="127">
        <v>-0.68964582681655884</v>
      </c>
      <c r="H51" s="127">
        <v>298</v>
      </c>
      <c r="I51" s="128">
        <v>500</v>
      </c>
      <c r="J51" s="129"/>
      <c r="K51" s="106">
        <f>D51*(I51-H51)+E51*$E$8/2*(I51^2-H51^2)-F51*$F$8*(I51^(-1)-H51^(-1))+G51*$G$8/3*(I51^3-H51^3)</f>
        <v>2102.8252595111576</v>
      </c>
      <c r="L51" s="107">
        <f>K51/1000</f>
        <v>2.1028252595111576</v>
      </c>
      <c r="M51" s="108">
        <f>D51*(LN(I51)-LN(H51))+E51*$E$8*(I51-H51)-F51*$F$8/2*(I51^(-2)-H51^(-2))+G51*$G$8/2*(I51^2-H51^2)</f>
        <v>5.3500787817024147</v>
      </c>
      <c r="N51" s="68"/>
      <c r="O51" s="114">
        <f>LOOKUP($C$2,$H51:$I52,H51:H52)</f>
        <v>500</v>
      </c>
      <c r="P51" s="115">
        <f>TE</f>
        <v>800</v>
      </c>
      <c r="Q51" s="133">
        <f>LOOKUP($C$2,$H51:$I52,B51:B52)</f>
        <v>0</v>
      </c>
      <c r="R51" s="133">
        <f>LOOKUP($C$2,$H51:$I52,C51:C52)</f>
        <v>0</v>
      </c>
      <c r="S51" s="133">
        <f>LOOKUP($C$2,$H51:$I52,D51:D52)*D8</f>
        <v>13.092568397521973</v>
      </c>
      <c r="T51" s="133">
        <f>LOOKUP($C$2,$H51:$I52,E51:E52)*E8</f>
        <v>8.0059009790420536E-4</v>
      </c>
      <c r="U51" s="134">
        <f>LOOKUP($C$2,$H51:$I52,F51:F52)*F8</f>
        <v>-591407.91893005371</v>
      </c>
      <c r="V51" s="133">
        <f>LOOKUP($C$2,$H51:$I52,G51:G52)*G8</f>
        <v>-5.754398554563522E-8</v>
      </c>
      <c r="W51" s="115">
        <f>S51*(P51-O51)+T51/2*(P51^2-O51^2)-U51*(P51^(-1)-O51^(-1))+V51/3*(P51^3-O51^3)</f>
        <v>3632.9064750149846</v>
      </c>
      <c r="X51" s="135">
        <f>S51*(LN(P51)-LN(O51))+T51*(P51-O51)-U51/2*(P51^(-2)-O51^(-2))+V51/2*(P51^2-O51^2)</f>
        <v>5.6617322139772135</v>
      </c>
      <c r="Y51" s="68" t="str">
        <f>A50</f>
        <v>SO₂(g)</v>
      </c>
      <c r="Z51" s="114">
        <f>S51+T51*TE^$E$7+U51*TE^$F$7+V51*TE^$G$7</f>
        <v>12.772137451767922</v>
      </c>
      <c r="AA51" s="115" cm="1">
        <f t="array" ref="AA51">_xlfn.IFS(TE&lt;=I51,W51/1000+B51,TE&lt;=I52,W51/1000+B51+B52+L51)</f>
        <v>-65.204270706880095</v>
      </c>
      <c r="AB51" s="115" cm="1">
        <f t="array" ref="AB51">_xlfn.IFS(TE&lt;=I51,(C51+X51)/1000,TE&lt;=I52,(C51+X51+M51+C52)/1000)</f>
        <v>7.0337811209302686E-2</v>
      </c>
      <c r="AC51" s="116">
        <f>AA51-TE*AB51</f>
        <v>-121.47451967432224</v>
      </c>
    </row>
    <row r="52" spans="1:29" x14ac:dyDescent="0.25">
      <c r="A52" s="125" t="s">
        <v>6</v>
      </c>
      <c r="B52" s="139">
        <v>0</v>
      </c>
      <c r="C52" s="140">
        <v>0</v>
      </c>
      <c r="D52" s="140">
        <v>13.092568397521973</v>
      </c>
      <c r="E52" s="140">
        <v>0.80059009790420532</v>
      </c>
      <c r="F52" s="140">
        <v>-5.9140791893005371</v>
      </c>
      <c r="G52" s="140">
        <v>-5.7543985545635223E-2</v>
      </c>
      <c r="H52" s="140">
        <v>500</v>
      </c>
      <c r="I52" s="141">
        <v>5000</v>
      </c>
      <c r="J52" s="129"/>
      <c r="K52" s="23">
        <f>D52*(I52-H52)+E52*$E$8/2*(I52^2-H52^2)-F52*$F$8*(I52^(-1)-H52^(-1))+G52*$G$8/3*(I52^3-H52^3)</f>
        <v>65364.057598002255</v>
      </c>
      <c r="L52" s="24">
        <f>K52/1000</f>
        <v>65.364057598002262</v>
      </c>
      <c r="M52" s="25">
        <f>D52*(LN(I52)-LN(H52))+E52*$E$8*(I52-H52)-F52*$F$8/2*(I52^(-2)-H52^(-2))+G52*$G$8/2*(I52^2-H52^2)</f>
        <v>31.866313761099228</v>
      </c>
      <c r="O52" s="13"/>
      <c r="P52" s="13"/>
    </row>
    <row r="57" spans="1:29" x14ac:dyDescent="0.25">
      <c r="X57" s="148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7EED668E48664C8A8E317AB05B88FC" ma:contentTypeVersion="9" ma:contentTypeDescription="Create a new document." ma:contentTypeScope="" ma:versionID="e5d86a34479958e851785c840aa517bb">
  <xsd:schema xmlns:xsd="http://www.w3.org/2001/XMLSchema" xmlns:xs="http://www.w3.org/2001/XMLSchema" xmlns:p="http://schemas.microsoft.com/office/2006/metadata/properties" xmlns:ns3="0251578c-ec18-4725-9ec8-3bdaff9ec1d3" xmlns:ns4="57480206-107b-4f1b-9520-f2a0b2ea941e" targetNamespace="http://schemas.microsoft.com/office/2006/metadata/properties" ma:root="true" ma:fieldsID="dc858bbda7ea7a69b78f8d3efedb603d" ns3:_="" ns4:_="">
    <xsd:import namespace="0251578c-ec18-4725-9ec8-3bdaff9ec1d3"/>
    <xsd:import namespace="57480206-107b-4f1b-9520-f2a0b2ea94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51578c-ec18-4725-9ec8-3bdaff9ec1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480206-107b-4f1b-9520-f2a0b2ea941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51578c-ec18-4725-9ec8-3bdaff9ec1d3" xsi:nil="true"/>
  </documentManagement>
</p:properties>
</file>

<file path=customXml/itemProps1.xml><?xml version="1.0" encoding="utf-8"?>
<ds:datastoreItem xmlns:ds="http://schemas.openxmlformats.org/officeDocument/2006/customXml" ds:itemID="{38452FB9-B800-4006-8713-438039584D5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0251578c-ec18-4725-9ec8-3bdaff9ec1d3"/>
    <ds:schemaRef ds:uri="57480206-107b-4f1b-9520-f2a0b2ea94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D60410-794B-4FD9-B7BD-FF190CEC455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BA34AC-68FE-4525-859A-629CC60B2282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0251578c-ec18-4725-9ec8-3bdaff9ec1d3"/>
    <ds:schemaRef ds:uri="http://schemas.openxmlformats.org/package/2006/metadata/core-properties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57480206-107b-4f1b-9520-f2a0b2ea941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Fe</vt:lpstr>
      <vt:lpstr>Fe calculations</vt:lpstr>
      <vt:lpstr>B</vt:lpstr>
      <vt:lpstr>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Atzin Misael Valerio Gomez</dc:creator>
  <cp:lastModifiedBy>Dandy Calla Choque</cp:lastModifiedBy>
  <dcterms:created xsi:type="dcterms:W3CDTF">2023-07-13T23:21:52Z</dcterms:created>
  <dcterms:modified xsi:type="dcterms:W3CDTF">2024-03-24T17:42:59Z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0x010100CF7EED668E48664C8A8E317AB05B88FC</vt:lpwstr>
  </property>
</Properties>
</file>